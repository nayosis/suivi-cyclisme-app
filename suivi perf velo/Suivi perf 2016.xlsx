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1715" windowHeight="9270" activeTab="2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25725"/>
</workbook>
</file>

<file path=xl/calcChain.xml><?xml version="1.0" encoding="utf-8"?>
<calcChain xmlns="http://schemas.openxmlformats.org/spreadsheetml/2006/main">
  <c r="G4" i="5"/>
  <c r="H4" s="1"/>
  <c r="G9" i="8"/>
  <c r="H9"/>
  <c r="G13" i="4"/>
  <c r="G3" i="1"/>
  <c r="G4"/>
  <c r="G5"/>
  <c r="G6"/>
  <c r="G7"/>
  <c r="G8"/>
  <c r="G9"/>
  <c r="G10"/>
  <c r="G11"/>
  <c r="G12"/>
  <c r="H3"/>
  <c r="H4"/>
  <c r="H5"/>
  <c r="H6"/>
  <c r="H7"/>
  <c r="H8"/>
  <c r="H9"/>
  <c r="H10"/>
  <c r="H11"/>
  <c r="H12"/>
  <c r="G12" i="11"/>
  <c r="H12" s="1"/>
  <c r="G9" i="9"/>
  <c r="H9" s="1"/>
  <c r="G7"/>
  <c r="G6"/>
  <c r="H6" s="1"/>
  <c r="G8" i="4"/>
  <c r="H8" s="1"/>
  <c r="D24" i="1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1"/>
  <c r="G23"/>
  <c r="H23" s="1"/>
  <c r="H22"/>
  <c r="G22"/>
  <c r="H21"/>
  <c r="G21"/>
  <c r="H20"/>
  <c r="G20"/>
  <c r="H19"/>
  <c r="G19"/>
  <c r="H18"/>
  <c r="G18"/>
  <c r="H17"/>
  <c r="G17"/>
  <c r="G16"/>
  <c r="H16" s="1"/>
  <c r="G15"/>
  <c r="H15" s="1"/>
  <c r="G14"/>
  <c r="H14" s="1"/>
  <c r="G13"/>
  <c r="H13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0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9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H7"/>
  <c r="G5"/>
  <c r="H5" s="1"/>
  <c r="G4"/>
  <c r="H4" s="1"/>
  <c r="G3"/>
  <c r="H3" s="1"/>
  <c r="D25" i="8"/>
  <c r="G24"/>
  <c r="H24" s="1"/>
  <c r="H23"/>
  <c r="G23"/>
  <c r="H22"/>
  <c r="G22"/>
  <c r="H21"/>
  <c r="G21"/>
  <c r="G20"/>
  <c r="H20" s="1"/>
  <c r="G19"/>
  <c r="H19" s="1"/>
  <c r="G18"/>
  <c r="H18" s="1"/>
  <c r="H17"/>
  <c r="G17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G7"/>
  <c r="H7" s="1"/>
  <c r="G6"/>
  <c r="H6" s="1"/>
  <c r="G5"/>
  <c r="H5" s="1"/>
  <c r="G4"/>
  <c r="H4" s="1"/>
  <c r="G3"/>
  <c r="H3" s="1"/>
  <c r="D24" i="7"/>
  <c r="H23"/>
  <c r="G23"/>
  <c r="H22"/>
  <c r="G22"/>
  <c r="H21"/>
  <c r="G21"/>
  <c r="H20"/>
  <c r="G20"/>
  <c r="H19"/>
  <c r="G19"/>
  <c r="G18"/>
  <c r="H18" s="1"/>
  <c r="H17"/>
  <c r="G17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6"/>
  <c r="H23"/>
  <c r="G23"/>
  <c r="H22"/>
  <c r="G22"/>
  <c r="H21"/>
  <c r="G2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5" i="5"/>
  <c r="G24"/>
  <c r="H24" s="1"/>
  <c r="H23"/>
  <c r="G23"/>
  <c r="H22"/>
  <c r="G22"/>
  <c r="H21"/>
  <c r="G21"/>
  <c r="H20"/>
  <c r="G20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3"/>
  <c r="H3" s="1"/>
  <c r="D24" i="4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H13"/>
  <c r="G12"/>
  <c r="H12" s="1"/>
  <c r="G11"/>
  <c r="H11" s="1"/>
  <c r="G10"/>
  <c r="H10" s="1"/>
  <c r="G9"/>
  <c r="H9" s="1"/>
  <c r="G7"/>
  <c r="H7" s="1"/>
  <c r="G6"/>
  <c r="H6" s="1"/>
  <c r="G5"/>
  <c r="H5" s="1"/>
  <c r="G4"/>
  <c r="H4" s="1"/>
  <c r="G3"/>
  <c r="H3" s="1"/>
  <c r="C25" i="2"/>
  <c r="G23" i="1"/>
  <c r="H23" s="1"/>
  <c r="D24" i="3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2"/>
  <c r="G23"/>
  <c r="H23" s="1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"/>
  <c r="B25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B25" i="2" l="1"/>
  <c r="B25" i="3" s="1"/>
  <c r="B25" i="4" s="1"/>
  <c r="B26" i="5" s="1"/>
  <c r="B25" i="6" s="1"/>
  <c r="B25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<sst xmlns="http://schemas.openxmlformats.org/spreadsheetml/2006/main" count="338" uniqueCount="205">
  <si>
    <t>Dates</t>
  </si>
  <si>
    <t>Désignation Sorties</t>
  </si>
  <si>
    <t>Distances</t>
  </si>
  <si>
    <t>Durées</t>
  </si>
  <si>
    <t>Vit. Moy.</t>
  </si>
  <si>
    <t>Remarques</t>
  </si>
  <si>
    <t>Nb</t>
  </si>
  <si>
    <t>Suivi Performances Décembre 2016</t>
  </si>
  <si>
    <t>Suivi Performances Novembre 2016</t>
  </si>
  <si>
    <t>Suivi Performances Octobre 2016</t>
  </si>
  <si>
    <t>Suivi Performances Septembre 2016</t>
  </si>
  <si>
    <t>Suivi Performances Août 2016</t>
  </si>
  <si>
    <t>Suivi Performances Juillet 2016</t>
  </si>
  <si>
    <t>Suivi Performances Juin 2016</t>
  </si>
  <si>
    <t>Suivi Performances Mai 2016</t>
  </si>
  <si>
    <t>Suivi Performances Avril 2016</t>
  </si>
  <si>
    <t>Suivi Performances Mars 2016</t>
  </si>
  <si>
    <t>Suivi Performances Février 2016</t>
  </si>
  <si>
    <t>Suivi Performances Janvier 2016</t>
  </si>
  <si>
    <t>Avoine Turquant St just Morton</t>
  </si>
  <si>
    <t>Seul</t>
  </si>
  <si>
    <t>Avoine Montsoreau</t>
  </si>
  <si>
    <t>Chinon Turquant st Just Bournand</t>
  </si>
  <si>
    <t>Chinon langeais Les Essards Ingrande</t>
  </si>
  <si>
    <t>Avoine Morton Insay Basses</t>
  </si>
  <si>
    <t>Chinon Bourgueil La breille varenne</t>
  </si>
  <si>
    <t>Chinon Montsoreau La Breille Bourgueil</t>
  </si>
  <si>
    <t>Avoine Huismes</t>
  </si>
  <si>
    <t>Avec Evelyne</t>
  </si>
  <si>
    <t>Avoine Brain La breille Blou varenne</t>
  </si>
  <si>
    <t>Chinon Langeais Les Essards Bourgueil</t>
  </si>
  <si>
    <t>Chinon 3 Moutiers Bizay Montsoreau</t>
  </si>
  <si>
    <t>Avoine Fontevraud Saix Roiffé</t>
  </si>
  <si>
    <t>Rafale vent</t>
  </si>
  <si>
    <t>Chinon Parnay Chacé Morton</t>
  </si>
  <si>
    <t>Avoine Parnay Chacé Montreuil morton</t>
  </si>
  <si>
    <t>Chinon Bourgueil la breille Allonnes</t>
  </si>
  <si>
    <t>Avoine Morton Champigny</t>
  </si>
  <si>
    <t>Avoine Mazière Gizeux</t>
  </si>
  <si>
    <t>Seul et vent fort SW</t>
  </si>
  <si>
    <t>Seul et vent W</t>
  </si>
  <si>
    <t>Chinon Maziere les Essards Bourgueil</t>
  </si>
  <si>
    <t>Vent fort SW</t>
  </si>
  <si>
    <t>Avoine Champigny Roiffé</t>
  </si>
  <si>
    <t>Avoine Cande Brain les loges Borgueil</t>
  </si>
  <si>
    <t>Chinon Courléon Brain Candes</t>
  </si>
  <si>
    <t>Avoine Rigny Vallère Vilandry Huismes</t>
  </si>
  <si>
    <t>Chinon Buton la Breille Allonnes</t>
  </si>
  <si>
    <t>Seul et vent fort W</t>
  </si>
  <si>
    <t>Rencontre Printemps à Chinon</t>
  </si>
  <si>
    <t>Chinon Brezé montreuil Fontevraud</t>
  </si>
  <si>
    <t>Chinon Langeais Avrillé Bourgueil</t>
  </si>
  <si>
    <t>Avoine Bourgueil Courléon Ingrande</t>
  </si>
  <si>
    <t>Avoine Savigny Le Néman</t>
  </si>
  <si>
    <t>Chinon Gizeux langeais</t>
  </si>
  <si>
    <t>Chinon Crissay Azay Bréhémont</t>
  </si>
  <si>
    <t>Avoine Benais avrillé langeais St benoit</t>
  </si>
  <si>
    <t>Chinon Avon Azay</t>
  </si>
  <si>
    <t>Vent fort NE</t>
  </si>
  <si>
    <t>Chinon Brézé Champigny Parnay Fontevraud</t>
  </si>
  <si>
    <t>Avoine pouant Dercé Rossay Lerné</t>
  </si>
  <si>
    <t>Vent fort S</t>
  </si>
  <si>
    <t>Chinon Champigny Roiffé</t>
  </si>
  <si>
    <t>Avoine Cravant Vilaines Druye</t>
  </si>
  <si>
    <t>Avoine Azay pont de Ruan Panzoult</t>
  </si>
  <si>
    <t>Avoine Huismes Rigny</t>
  </si>
  <si>
    <t>Chinon Dampierre Montreuil</t>
  </si>
  <si>
    <t>Avoine Fontevraud Bournand Huismes</t>
  </si>
  <si>
    <t>Avoine Marçay Insay la Motte Bourbon</t>
  </si>
  <si>
    <t>Vent et pluie</t>
  </si>
  <si>
    <t>AUDAX CHINON 100 Km</t>
  </si>
  <si>
    <t>Allure 22,5 Km/h</t>
  </si>
  <si>
    <t>Chinon Champigny Montreuil Roiffé</t>
  </si>
  <si>
    <t>Avoine Samarsolle Insay Morton</t>
  </si>
  <si>
    <t>Chinon IB Marcilly St Maure St Epain</t>
  </si>
  <si>
    <t>Chinon Richelieu</t>
  </si>
  <si>
    <t>TOURS 200 Randonneur</t>
  </si>
  <si>
    <t>Avoine gennes Milly Meigné Roiffé</t>
  </si>
  <si>
    <t>Seul et vent fort</t>
  </si>
  <si>
    <t>Chinon Candes Vernoil Auverse Blou</t>
  </si>
  <si>
    <t xml:space="preserve">Seul </t>
  </si>
  <si>
    <t>St Epain Ligueil Gr Pressigny Descartes IB</t>
  </si>
  <si>
    <t>TOURS 300 Randonneur</t>
  </si>
  <si>
    <t>Moutiers ternay Brézé candes  Chinon Huismes</t>
  </si>
  <si>
    <t xml:space="preserve">Candes Brain La Breille Avrillé Benais </t>
  </si>
  <si>
    <t>Chinon Roiffé MontreuilChétigné Chacé</t>
  </si>
  <si>
    <t>Chinon les loges La Breille Allonnes</t>
  </si>
  <si>
    <t>Avoine Marçay Sammarsolles Candes</t>
  </si>
  <si>
    <t>Lectoure (Visite)</t>
  </si>
  <si>
    <t>Lectoure Condom</t>
  </si>
  <si>
    <t>Lectoure Gramont</t>
  </si>
  <si>
    <t>Lectoure St Clar</t>
  </si>
  <si>
    <t>Lectoure Astafort</t>
  </si>
  <si>
    <t xml:space="preserve">Lectoure </t>
  </si>
  <si>
    <t>Lectoure Fleurance</t>
  </si>
  <si>
    <t>Lectoure La Romieu Condom</t>
  </si>
  <si>
    <t>Lectoure Valence sur Baîse</t>
  </si>
  <si>
    <t>Lectoure Lavit en Lomagne</t>
  </si>
  <si>
    <t>Lectoure La Romieu Pauhilac</t>
  </si>
  <si>
    <t>Lectoure</t>
  </si>
  <si>
    <t>Lectoure Gramont Fleurance</t>
  </si>
  <si>
    <t>Castet Arouy Castera Lectourois</t>
  </si>
  <si>
    <t xml:space="preserve">Castet Arouy </t>
  </si>
  <si>
    <t>Castet Arouy lavit en Lomagne</t>
  </si>
  <si>
    <t>seul Lectoure</t>
  </si>
  <si>
    <t>Quiberon La Presqu'Ile</t>
  </si>
  <si>
    <t>Bretagne 2016</t>
  </si>
  <si>
    <t>Quiberon Belle Ile</t>
  </si>
  <si>
    <t>Quiberon La trinité Auray Carnac</t>
  </si>
  <si>
    <t>Quiberon Etel</t>
  </si>
  <si>
    <t>Avoine Courléon St philbert Blou</t>
  </si>
  <si>
    <t>Chinon Coudray Brossay Berrie 3Moutiers</t>
  </si>
  <si>
    <t>Chinon Coudray Montreuil Champigny</t>
  </si>
  <si>
    <t>Avoine Courléon Blou</t>
  </si>
  <si>
    <t>Chinon IB RuillY Champigny</t>
  </si>
  <si>
    <t>Avoine Argenton l'église</t>
  </si>
  <si>
    <t>IB Marigny StGervais 3clochers</t>
  </si>
  <si>
    <t>Chinon IB Rilly Corcoue</t>
  </si>
  <si>
    <t>Avoine Montreuil Berrie</t>
  </si>
  <si>
    <t>Chinon St paterne -Racan</t>
  </si>
  <si>
    <t>Avoine Restigné Mazière 5Mars langeaisL</t>
  </si>
  <si>
    <t>Chinon St Maure Sepmes IB</t>
  </si>
  <si>
    <t>Chinon Coudray Montreuil St Léger</t>
  </si>
  <si>
    <t>Avoine Gizeux Rillé Le Breil Vernoil</t>
  </si>
  <si>
    <t>ChinonVilleperdue Azay</t>
  </si>
  <si>
    <t>Avoine Saumur forges Bron</t>
  </si>
  <si>
    <t>LàV Avoine St Mathurin</t>
  </si>
  <si>
    <t xml:space="preserve">LOIRE à Vélo </t>
  </si>
  <si>
    <t>Chinon IB Marigny Richelieu</t>
  </si>
  <si>
    <t>LàV St mathurin Chalonnes</t>
  </si>
  <si>
    <t>LàV Chalonnes La Varenne</t>
  </si>
  <si>
    <t>LàV La Varenne Frossay</t>
  </si>
  <si>
    <t>LàV Frossay Frossay</t>
  </si>
  <si>
    <t>LàV Frossay Thouaré</t>
  </si>
  <si>
    <t>LàV Thouaré Ancenis</t>
  </si>
  <si>
    <t>LàV Ancenis La Possonniére</t>
  </si>
  <si>
    <t>LàV La Possonniére Gennes</t>
  </si>
  <si>
    <t>LàV Gennes Avoine</t>
  </si>
  <si>
    <t>Thouaré</t>
  </si>
  <si>
    <t>Total 519 Km</t>
  </si>
  <si>
    <t>Avoine Pouzay St Epain Azay</t>
  </si>
  <si>
    <t>Chinon Trogue Nouatre Rilly Champigny</t>
  </si>
  <si>
    <t>Chinon Distré Montreuil Morton</t>
  </si>
  <si>
    <t>Avoine Distré Le Puy Montreuil</t>
  </si>
  <si>
    <t>Les Essards Courléon Candes</t>
  </si>
  <si>
    <t>Marçay Basses Ternay Saix</t>
  </si>
  <si>
    <t>Cande Couziers Epenne Insay Basse</t>
  </si>
  <si>
    <t xml:space="preserve">Chinon Vallée du Courtineau </t>
  </si>
  <si>
    <t>Avoine La Chapelle Gizeux courléon</t>
  </si>
  <si>
    <t>Joucas Provence</t>
  </si>
  <si>
    <t>Vacances 2016</t>
  </si>
  <si>
    <t xml:space="preserve">Joucas OCRE de Provence </t>
  </si>
  <si>
    <t xml:space="preserve">Entrechaux Vaucluse </t>
  </si>
  <si>
    <t xml:space="preserve">Ascension VENTOUX </t>
  </si>
  <si>
    <t xml:space="preserve">Entrechaux Cyclisme </t>
  </si>
  <si>
    <t xml:space="preserve">Saint-Sauveur-Camprieu Mt Aigoual </t>
  </si>
  <si>
    <t xml:space="preserve">Pas de PEYROL Ségur-les-Villas </t>
  </si>
  <si>
    <t>Chinon Ingrandes Gizeux Bourgueil</t>
  </si>
  <si>
    <t>Avoine Chinon Evelyne</t>
  </si>
  <si>
    <t>Avoine Langeais Evelyne</t>
  </si>
  <si>
    <t xml:space="preserve">Evelyne </t>
  </si>
  <si>
    <t>Avoine Basse Mouterre Rossay Marçay</t>
  </si>
  <si>
    <t>Avoine Azay Evelyne</t>
  </si>
  <si>
    <t xml:space="preserve">Avoine Azay Evelyne </t>
  </si>
  <si>
    <t>Chinon Quellay Champigny Chezelle IB</t>
  </si>
  <si>
    <t>Chinon 3 outiers ceaux Richelieu IB</t>
  </si>
  <si>
    <t>Avoine Distré Le Puy ND montreuil</t>
  </si>
  <si>
    <t>Chinon Huismes Azay Artannes St Epain</t>
  </si>
  <si>
    <t>Réau Varennes Candes</t>
  </si>
  <si>
    <t>Avoine Courléon Avrillé Ingrandes</t>
  </si>
  <si>
    <t>Chinon Continvoir Langeais</t>
  </si>
  <si>
    <t>Véron</t>
  </si>
  <si>
    <t>Avoine Hommes GIFAC</t>
  </si>
  <si>
    <t>Veigné Octobre ROSE</t>
  </si>
  <si>
    <t>Chinon Chacé Distré La Fosse Bron Roiffé</t>
  </si>
  <si>
    <t>Chinon nVernoil Gizeux Benais</t>
  </si>
  <si>
    <t>Avoine St Benoit Vallère Villandry</t>
  </si>
  <si>
    <t>Avoine Panzoult Nueil Vilaines Saché Azay</t>
  </si>
  <si>
    <t>Chinon Langeais Pont Boutard ingrandes</t>
  </si>
  <si>
    <t>Chinon StEpain Pouzay IB</t>
  </si>
  <si>
    <t>Avoine candes Couziers Lerné</t>
  </si>
  <si>
    <t>Essai vélo Evelyne</t>
  </si>
  <si>
    <t>Chinon Turquant Chacé St Just Meigné Roiffé</t>
  </si>
  <si>
    <t>Avoine Réau Varennes Candes Port Guyot</t>
  </si>
  <si>
    <t>Avoine Cande saix Insay Basse Seuilly</t>
  </si>
  <si>
    <t>Avoine huismes Savigny</t>
  </si>
  <si>
    <t>Chinon Courléon vernoil Allonnes Candes</t>
  </si>
  <si>
    <t>Avoine Basses Insay Morton</t>
  </si>
  <si>
    <t>Chinon Richelieu Braslou Luzé IB</t>
  </si>
  <si>
    <t>Avoine Cravant Crissay Nueil Azay</t>
  </si>
  <si>
    <t>Avoine Véron</t>
  </si>
  <si>
    <t>Chinon Crissay Saché Azay Bréhémont</t>
  </si>
  <si>
    <t>Chinon Crissay Nueil Saché Azay</t>
  </si>
  <si>
    <t>Chinon Brain La petite Breille Gizeux</t>
  </si>
  <si>
    <t>Avoine 5 Mars la Pile</t>
  </si>
  <si>
    <t>Chinon candes Couziers Epenne Messemé Marçay</t>
  </si>
  <si>
    <t>Avoine Champigny Brezé St Lèger Saix</t>
  </si>
  <si>
    <t>Chinon Lerné 3Moutiers Verniers Ceaux Assay</t>
  </si>
  <si>
    <t>Avoine Bourgueil Brain Montsoreau</t>
  </si>
  <si>
    <t>Très froid +brouillard</t>
  </si>
  <si>
    <t>Chino St Epain Pouzay IB</t>
  </si>
  <si>
    <t>Chinon Ingrande Langeais</t>
  </si>
  <si>
    <t>Chinon Vilaines Azay</t>
  </si>
  <si>
    <t>Avoine Ligueil Descartes IB</t>
  </si>
  <si>
    <t>Avoine Rond Point Pompiers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</si>
</sst>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16" fontId="0" fillId="0" borderId="0" xfId="0" applyNumberFormat="1"/>
    <xf numFmtId="14" fontId="0" fillId="2" borderId="2" xfId="0" applyNumberFormat="1" applyFill="1" applyBorder="1"/>
    <xf numFmtId="0" fontId="0" fillId="2" borderId="2" xfId="0" applyFill="1" applyBorder="1"/>
    <xf numFmtId="0" fontId="0" fillId="2" borderId="2" xfId="0" applyNumberFormat="1" applyFill="1" applyBorder="1"/>
    <xf numFmtId="164" fontId="0" fillId="2" borderId="2" xfId="0" applyNumberFormat="1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  <xf numFmtId="164" fontId="0" fillId="2" borderId="1" xfId="0" applyNumberFormat="1" applyFill="1" applyBorder="1"/>
    <xf numFmtId="0" fontId="0" fillId="0" borderId="0" xfId="0" applyFill="1"/>
    <xf numFmtId="0" fontId="3" fillId="0" borderId="0" xfId="0" applyFont="1"/>
    <xf numFmtId="0" fontId="3" fillId="2" borderId="0" xfId="0" applyFont="1" applyFill="1"/>
    <xf numFmtId="0" fontId="2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G26" sqref="G2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10" width="18.5703125" customWidth="1"/>
  </cols>
  <sheetData>
    <row r="1" spans="1:9" ht="27" thickBot="1">
      <c r="A1" s="36" t="s">
        <v>18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42371</v>
      </c>
      <c r="B3" s="8" t="s">
        <v>19</v>
      </c>
      <c r="C3" s="8">
        <v>1</v>
      </c>
      <c r="D3" s="8">
        <v>71.5</v>
      </c>
      <c r="E3" s="9">
        <v>2</v>
      </c>
      <c r="F3" s="9">
        <v>44</v>
      </c>
      <c r="G3" s="8">
        <f>SUM(E3*60+F3)</f>
        <v>164</v>
      </c>
      <c r="H3" s="10">
        <f>SUM(D3/G3*60)</f>
        <v>26.158536585365855</v>
      </c>
      <c r="I3" s="8" t="s">
        <v>20</v>
      </c>
    </row>
    <row r="4" spans="1:9">
      <c r="A4" s="5">
        <v>42373</v>
      </c>
      <c r="B4" s="3" t="s">
        <v>21</v>
      </c>
      <c r="C4" s="8">
        <v>2</v>
      </c>
      <c r="D4" s="3">
        <v>20</v>
      </c>
      <c r="E4" s="6">
        <v>0</v>
      </c>
      <c r="F4" s="6">
        <v>58</v>
      </c>
      <c r="G4" s="3">
        <f t="shared" ref="G4:G23" si="0">SUM(E4*60+F4)</f>
        <v>58</v>
      </c>
      <c r="H4" s="4">
        <f t="shared" ref="H4:H23" si="1">SUM(D4/G4*60)</f>
        <v>20.689655172413794</v>
      </c>
      <c r="I4" s="3"/>
    </row>
    <row r="5" spans="1:9">
      <c r="A5" s="5">
        <v>42374</v>
      </c>
      <c r="B5" s="3" t="s">
        <v>22</v>
      </c>
      <c r="C5" s="8">
        <v>3</v>
      </c>
      <c r="D5" s="3">
        <v>83.62</v>
      </c>
      <c r="E5" s="6">
        <v>3</v>
      </c>
      <c r="F5" s="6">
        <v>21</v>
      </c>
      <c r="G5" s="3">
        <f t="shared" si="0"/>
        <v>201</v>
      </c>
      <c r="H5" s="4">
        <f t="shared" si="1"/>
        <v>24.961194029850748</v>
      </c>
      <c r="I5" s="3"/>
    </row>
    <row r="6" spans="1:9">
      <c r="A6" s="5">
        <v>42376</v>
      </c>
      <c r="B6" s="3" t="s">
        <v>23</v>
      </c>
      <c r="C6" s="8">
        <v>4</v>
      </c>
      <c r="D6" s="3">
        <v>82.84</v>
      </c>
      <c r="E6" s="6">
        <v>3</v>
      </c>
      <c r="F6" s="6">
        <v>25</v>
      </c>
      <c r="G6" s="3">
        <f t="shared" si="0"/>
        <v>205</v>
      </c>
      <c r="H6" s="4">
        <f t="shared" si="1"/>
        <v>24.245853658536586</v>
      </c>
      <c r="I6" s="3"/>
    </row>
    <row r="7" spans="1:9">
      <c r="A7" s="5">
        <v>42378</v>
      </c>
      <c r="B7" s="3" t="s">
        <v>24</v>
      </c>
      <c r="C7" s="8">
        <v>5</v>
      </c>
      <c r="D7" s="3">
        <v>78.239999999999995</v>
      </c>
      <c r="E7" s="6">
        <v>3</v>
      </c>
      <c r="F7" s="6">
        <v>0</v>
      </c>
      <c r="G7" s="3">
        <f t="shared" si="0"/>
        <v>180</v>
      </c>
      <c r="H7" s="4">
        <f t="shared" si="1"/>
        <v>26.08</v>
      </c>
      <c r="I7" s="3"/>
    </row>
    <row r="8" spans="1:9">
      <c r="A8" s="5">
        <v>42381</v>
      </c>
      <c r="B8" s="3" t="s">
        <v>25</v>
      </c>
      <c r="C8" s="8">
        <v>6</v>
      </c>
      <c r="D8" s="3">
        <v>78.17</v>
      </c>
      <c r="E8" s="6">
        <v>3</v>
      </c>
      <c r="F8" s="6">
        <v>5</v>
      </c>
      <c r="G8" s="3">
        <f t="shared" si="0"/>
        <v>185</v>
      </c>
      <c r="H8" s="4">
        <f t="shared" si="1"/>
        <v>25.352432432432433</v>
      </c>
      <c r="I8" s="3"/>
    </row>
    <row r="9" spans="1:9">
      <c r="A9" s="5">
        <v>42382</v>
      </c>
      <c r="B9" s="3" t="s">
        <v>27</v>
      </c>
      <c r="C9" s="8">
        <v>7</v>
      </c>
      <c r="D9" s="3">
        <v>21.62</v>
      </c>
      <c r="E9" s="6">
        <v>1</v>
      </c>
      <c r="F9" s="6">
        <v>5</v>
      </c>
      <c r="G9" s="3">
        <f t="shared" si="0"/>
        <v>65</v>
      </c>
      <c r="H9" s="4">
        <f t="shared" si="1"/>
        <v>19.956923076923079</v>
      </c>
      <c r="I9" s="3" t="s">
        <v>28</v>
      </c>
    </row>
    <row r="10" spans="1:9">
      <c r="A10" s="5">
        <v>42383</v>
      </c>
      <c r="B10" s="3" t="s">
        <v>26</v>
      </c>
      <c r="C10" s="8">
        <v>8</v>
      </c>
      <c r="D10" s="3">
        <v>89.58</v>
      </c>
      <c r="E10" s="6">
        <v>3</v>
      </c>
      <c r="F10" s="6">
        <v>38</v>
      </c>
      <c r="G10" s="3">
        <f t="shared" si="0"/>
        <v>218</v>
      </c>
      <c r="H10" s="4">
        <f t="shared" si="1"/>
        <v>24.655045871559633</v>
      </c>
      <c r="I10" s="3"/>
    </row>
    <row r="11" spans="1:9">
      <c r="A11" s="5">
        <v>42385</v>
      </c>
      <c r="B11" s="3" t="s">
        <v>29</v>
      </c>
      <c r="C11" s="8">
        <v>9</v>
      </c>
      <c r="D11" s="3">
        <v>73.2</v>
      </c>
      <c r="E11" s="6">
        <v>3</v>
      </c>
      <c r="F11" s="6">
        <v>0</v>
      </c>
      <c r="G11" s="3">
        <f t="shared" si="0"/>
        <v>180</v>
      </c>
      <c r="H11" s="4">
        <f t="shared" si="1"/>
        <v>24.400000000000002</v>
      </c>
      <c r="I11" s="3"/>
    </row>
    <row r="12" spans="1:9">
      <c r="A12" s="5">
        <v>42388</v>
      </c>
      <c r="B12" s="3" t="s">
        <v>30</v>
      </c>
      <c r="C12" s="8">
        <v>10</v>
      </c>
      <c r="D12" s="3">
        <v>89.62</v>
      </c>
      <c r="E12" s="6">
        <v>3</v>
      </c>
      <c r="F12" s="6">
        <v>28</v>
      </c>
      <c r="G12" s="3">
        <f t="shared" si="0"/>
        <v>208</v>
      </c>
      <c r="H12" s="4">
        <f t="shared" si="1"/>
        <v>25.851923076923079</v>
      </c>
      <c r="I12" s="3"/>
    </row>
    <row r="13" spans="1:9">
      <c r="A13" s="5">
        <v>42395</v>
      </c>
      <c r="B13" s="3" t="s">
        <v>31</v>
      </c>
      <c r="C13" s="8">
        <v>11</v>
      </c>
      <c r="D13" s="3">
        <v>95.65</v>
      </c>
      <c r="E13" s="6">
        <v>3</v>
      </c>
      <c r="F13" s="6">
        <v>43</v>
      </c>
      <c r="G13" s="3">
        <f t="shared" si="0"/>
        <v>223</v>
      </c>
      <c r="H13" s="4">
        <f t="shared" si="1"/>
        <v>25.735426008968613</v>
      </c>
      <c r="I13" s="3"/>
    </row>
    <row r="14" spans="1:9">
      <c r="A14" s="5">
        <v>42399</v>
      </c>
      <c r="B14" s="3" t="s">
        <v>32</v>
      </c>
      <c r="C14" s="8">
        <v>12</v>
      </c>
      <c r="D14" s="3">
        <v>52.54</v>
      </c>
      <c r="E14" s="6">
        <v>2</v>
      </c>
      <c r="F14" s="6">
        <v>8</v>
      </c>
      <c r="G14" s="3">
        <f t="shared" si="0"/>
        <v>128</v>
      </c>
      <c r="H14" s="4">
        <f t="shared" si="1"/>
        <v>24.628125000000001</v>
      </c>
      <c r="I14" s="3" t="s">
        <v>33</v>
      </c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836.58</v>
      </c>
    </row>
    <row r="25" spans="1:9">
      <c r="B25">
        <f>SUM(D24+0)</f>
        <v>836.58</v>
      </c>
    </row>
  </sheetData>
  <mergeCells count="2">
    <mergeCell ref="E2:G2"/>
    <mergeCell ref="A1:I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E16" sqref="E1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17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42402</v>
      </c>
      <c r="B3" s="8" t="s">
        <v>34</v>
      </c>
      <c r="C3" s="8">
        <v>1</v>
      </c>
      <c r="D3" s="8">
        <v>82.73</v>
      </c>
      <c r="E3" s="9">
        <v>3</v>
      </c>
      <c r="F3" s="9">
        <v>9</v>
      </c>
      <c r="G3" s="8">
        <f>SUM(E3*60+F3)</f>
        <v>189</v>
      </c>
      <c r="H3" s="10">
        <f>SUM(D3/G3*60)</f>
        <v>26.263492063492066</v>
      </c>
      <c r="I3" s="8" t="s">
        <v>42</v>
      </c>
    </row>
    <row r="4" spans="1:9">
      <c r="A4" s="5">
        <v>42403</v>
      </c>
      <c r="B4" s="3" t="s">
        <v>35</v>
      </c>
      <c r="C4" s="8">
        <v>2</v>
      </c>
      <c r="D4" s="3">
        <v>81.680000000000007</v>
      </c>
      <c r="E4" s="6">
        <v>3</v>
      </c>
      <c r="F4" s="6">
        <v>8</v>
      </c>
      <c r="G4" s="3">
        <f t="shared" ref="G4:G23" si="0">SUM(E4*60+F4)</f>
        <v>188</v>
      </c>
      <c r="H4" s="4">
        <f t="shared" ref="H4:H23" si="1">SUM(D4/G4*60)</f>
        <v>26.068085106382981</v>
      </c>
      <c r="I4" s="3" t="s">
        <v>39</v>
      </c>
    </row>
    <row r="5" spans="1:9">
      <c r="A5" s="5">
        <v>42404</v>
      </c>
      <c r="B5" s="3" t="s">
        <v>36</v>
      </c>
      <c r="C5" s="8">
        <v>3</v>
      </c>
      <c r="D5" s="3">
        <v>84.86</v>
      </c>
      <c r="E5" s="6">
        <v>3</v>
      </c>
      <c r="F5" s="6">
        <v>29</v>
      </c>
      <c r="G5" s="3">
        <f t="shared" si="0"/>
        <v>209</v>
      </c>
      <c r="H5" s="4">
        <f t="shared" si="1"/>
        <v>24.361722488038279</v>
      </c>
      <c r="I5" s="3"/>
    </row>
    <row r="6" spans="1:9">
      <c r="A6" s="5">
        <v>42406</v>
      </c>
      <c r="B6" s="3" t="s">
        <v>37</v>
      </c>
      <c r="C6" s="8">
        <v>4</v>
      </c>
      <c r="D6" s="3">
        <v>66.28</v>
      </c>
      <c r="E6" s="6">
        <v>2</v>
      </c>
      <c r="F6" s="6">
        <v>30</v>
      </c>
      <c r="G6" s="3">
        <f t="shared" si="0"/>
        <v>150</v>
      </c>
      <c r="H6" s="4">
        <f t="shared" si="1"/>
        <v>26.512</v>
      </c>
      <c r="I6" s="3"/>
    </row>
    <row r="7" spans="1:9">
      <c r="A7" s="5">
        <v>42410</v>
      </c>
      <c r="B7" s="3" t="s">
        <v>38</v>
      </c>
      <c r="C7" s="8">
        <v>5</v>
      </c>
      <c r="D7" s="3">
        <v>80.8</v>
      </c>
      <c r="E7" s="6">
        <v>3</v>
      </c>
      <c r="F7" s="6">
        <v>0</v>
      </c>
      <c r="G7" s="3">
        <f t="shared" si="0"/>
        <v>180</v>
      </c>
      <c r="H7" s="4">
        <f t="shared" si="1"/>
        <v>26.933333333333334</v>
      </c>
      <c r="I7" s="3" t="s">
        <v>40</v>
      </c>
    </row>
    <row r="8" spans="1:9">
      <c r="A8" s="5">
        <v>42411</v>
      </c>
      <c r="B8" s="3" t="s">
        <v>41</v>
      </c>
      <c r="C8" s="8">
        <v>6</v>
      </c>
      <c r="D8" s="3">
        <v>85.8</v>
      </c>
      <c r="E8" s="6">
        <v>3</v>
      </c>
      <c r="F8" s="6">
        <v>18</v>
      </c>
      <c r="G8" s="3">
        <f t="shared" si="0"/>
        <v>198</v>
      </c>
      <c r="H8" s="4">
        <f t="shared" si="1"/>
        <v>25.999999999999996</v>
      </c>
      <c r="I8" s="3" t="s">
        <v>40</v>
      </c>
    </row>
    <row r="9" spans="1:9">
      <c r="A9" s="5">
        <v>42419</v>
      </c>
      <c r="B9" s="3" t="s">
        <v>43</v>
      </c>
      <c r="C9" s="8">
        <v>7</v>
      </c>
      <c r="D9" s="3">
        <v>68.400000000000006</v>
      </c>
      <c r="E9" s="6">
        <v>2</v>
      </c>
      <c r="F9" s="6">
        <v>45</v>
      </c>
      <c r="G9" s="3">
        <f t="shared" si="0"/>
        <v>165</v>
      </c>
      <c r="H9" s="4">
        <f t="shared" si="1"/>
        <v>24.872727272727275</v>
      </c>
      <c r="I9" s="3" t="s">
        <v>20</v>
      </c>
    </row>
    <row r="10" spans="1:9">
      <c r="A10" s="5">
        <v>42421</v>
      </c>
      <c r="B10" s="3" t="s">
        <v>44</v>
      </c>
      <c r="C10" s="8">
        <v>8</v>
      </c>
      <c r="D10" s="3">
        <v>66.28</v>
      </c>
      <c r="E10" s="6">
        <v>2</v>
      </c>
      <c r="F10" s="6">
        <v>30</v>
      </c>
      <c r="G10" s="3">
        <f t="shared" si="0"/>
        <v>150</v>
      </c>
      <c r="H10" s="4">
        <f t="shared" si="1"/>
        <v>26.512</v>
      </c>
      <c r="I10" s="3" t="s">
        <v>20</v>
      </c>
    </row>
    <row r="11" spans="1:9">
      <c r="A11" s="5">
        <v>42425</v>
      </c>
      <c r="B11" s="3" t="s">
        <v>45</v>
      </c>
      <c r="C11" s="8">
        <v>9</v>
      </c>
      <c r="D11" s="3">
        <v>91.91</v>
      </c>
      <c r="E11" s="6">
        <v>3</v>
      </c>
      <c r="F11" s="6">
        <v>37</v>
      </c>
      <c r="G11" s="3">
        <f t="shared" si="0"/>
        <v>217</v>
      </c>
      <c r="H11" s="4">
        <f t="shared" si="1"/>
        <v>25.412903225806449</v>
      </c>
      <c r="I11" s="3"/>
    </row>
    <row r="12" spans="1:9">
      <c r="A12" s="5">
        <v>42427</v>
      </c>
      <c r="B12" s="3" t="s">
        <v>46</v>
      </c>
      <c r="C12" s="8">
        <v>10</v>
      </c>
      <c r="D12" s="3">
        <v>76.36</v>
      </c>
      <c r="E12" s="6">
        <v>3</v>
      </c>
      <c r="F12" s="6">
        <v>7</v>
      </c>
      <c r="G12" s="3">
        <f t="shared" si="0"/>
        <v>187</v>
      </c>
      <c r="H12" s="4">
        <f t="shared" si="1"/>
        <v>24.500534759358288</v>
      </c>
      <c r="I12" s="3"/>
    </row>
    <row r="13" spans="1:9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3"/>
    </row>
    <row r="14" spans="1:9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3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785.1</v>
      </c>
    </row>
    <row r="25" spans="1:9">
      <c r="B25">
        <f>SUM(Janv!B25+Fév!D24)</f>
        <v>1621.68</v>
      </c>
      <c r="C25">
        <f>SUM(Janv!E24+Fév!E24)</f>
        <v>0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B21" sqref="B21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16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42430</v>
      </c>
      <c r="B3" s="8" t="s">
        <v>51</v>
      </c>
      <c r="C3" s="8">
        <v>1</v>
      </c>
      <c r="D3" s="8">
        <v>79.92</v>
      </c>
      <c r="E3" s="9">
        <v>3</v>
      </c>
      <c r="F3" s="9">
        <v>3</v>
      </c>
      <c r="G3" s="8">
        <f>SUM(E3*60+F3)</f>
        <v>183</v>
      </c>
      <c r="H3" s="10">
        <f>SUM(D3/G3*60)</f>
        <v>26.203278688524591</v>
      </c>
      <c r="I3" s="8" t="s">
        <v>42</v>
      </c>
    </row>
    <row r="4" spans="1:9">
      <c r="A4" s="5">
        <v>42432</v>
      </c>
      <c r="B4" s="3" t="s">
        <v>47</v>
      </c>
      <c r="C4" s="8">
        <v>2</v>
      </c>
      <c r="D4" s="3">
        <v>77.41</v>
      </c>
      <c r="E4" s="6">
        <v>3</v>
      </c>
      <c r="F4" s="6">
        <v>8</v>
      </c>
      <c r="G4" s="3">
        <f t="shared" ref="G4:G23" si="0">SUM(E4*60+F4)</f>
        <v>188</v>
      </c>
      <c r="H4" s="4">
        <f t="shared" ref="H4:H23" si="1">SUM(D4/G4*60)</f>
        <v>24.705319148936169</v>
      </c>
      <c r="I4" s="3" t="s">
        <v>48</v>
      </c>
    </row>
    <row r="5" spans="1:9">
      <c r="A5" s="5">
        <v>42435</v>
      </c>
      <c r="B5" s="3" t="s">
        <v>49</v>
      </c>
      <c r="C5" s="8">
        <v>3</v>
      </c>
      <c r="D5" s="3">
        <v>52</v>
      </c>
      <c r="E5" s="6">
        <v>2</v>
      </c>
      <c r="F5" s="6">
        <v>10</v>
      </c>
      <c r="G5" s="3">
        <f t="shared" si="0"/>
        <v>130</v>
      </c>
      <c r="H5" s="4">
        <f t="shared" si="1"/>
        <v>24</v>
      </c>
      <c r="I5" s="3"/>
    </row>
    <row r="6" spans="1:9">
      <c r="A6" s="5">
        <v>42437</v>
      </c>
      <c r="B6" s="3" t="s">
        <v>50</v>
      </c>
      <c r="C6" s="8">
        <v>4</v>
      </c>
      <c r="D6" s="3">
        <v>102</v>
      </c>
      <c r="E6" s="6">
        <v>4</v>
      </c>
      <c r="F6" s="6">
        <v>9</v>
      </c>
      <c r="G6" s="3">
        <f t="shared" si="0"/>
        <v>249</v>
      </c>
      <c r="H6" s="4">
        <f t="shared" si="1"/>
        <v>24.578313253012048</v>
      </c>
      <c r="I6" s="3"/>
    </row>
    <row r="7" spans="1:9">
      <c r="A7" s="5">
        <v>42439</v>
      </c>
      <c r="B7" s="3" t="s">
        <v>51</v>
      </c>
      <c r="C7" s="8">
        <v>5</v>
      </c>
      <c r="D7" s="3">
        <v>91.15</v>
      </c>
      <c r="E7" s="6">
        <v>3</v>
      </c>
      <c r="F7" s="6">
        <v>35</v>
      </c>
      <c r="G7" s="3">
        <f t="shared" si="0"/>
        <v>215</v>
      </c>
      <c r="H7" s="4">
        <f t="shared" si="1"/>
        <v>25.437209302325584</v>
      </c>
      <c r="I7" s="3"/>
    </row>
    <row r="8" spans="1:9">
      <c r="A8" s="5">
        <v>42441</v>
      </c>
      <c r="B8" s="3" t="s">
        <v>52</v>
      </c>
      <c r="C8" s="8">
        <v>6</v>
      </c>
      <c r="D8" s="3">
        <v>72.75</v>
      </c>
      <c r="E8" s="6">
        <v>3</v>
      </c>
      <c r="F8" s="6">
        <v>1</v>
      </c>
      <c r="G8" s="3">
        <f t="shared" si="0"/>
        <v>181</v>
      </c>
      <c r="H8" s="4">
        <f t="shared" si="1"/>
        <v>24.116022099447513</v>
      </c>
      <c r="I8" s="3"/>
    </row>
    <row r="9" spans="1:9">
      <c r="A9" s="5">
        <v>42441</v>
      </c>
      <c r="B9" s="3" t="s">
        <v>53</v>
      </c>
      <c r="C9" s="8">
        <v>7</v>
      </c>
      <c r="D9" s="3">
        <v>20.56</v>
      </c>
      <c r="E9" s="6">
        <v>1</v>
      </c>
      <c r="F9" s="6">
        <v>3</v>
      </c>
      <c r="G9" s="3">
        <f t="shared" si="0"/>
        <v>63</v>
      </c>
      <c r="H9" s="4">
        <f t="shared" si="1"/>
        <v>19.580952380952379</v>
      </c>
      <c r="I9" s="3" t="s">
        <v>28</v>
      </c>
    </row>
    <row r="10" spans="1:9">
      <c r="A10" s="5">
        <v>42444</v>
      </c>
      <c r="B10" s="3" t="s">
        <v>54</v>
      </c>
      <c r="C10" s="8">
        <v>8</v>
      </c>
      <c r="D10" s="3">
        <v>100.2</v>
      </c>
      <c r="E10" s="6">
        <v>4</v>
      </c>
      <c r="F10" s="6">
        <v>1</v>
      </c>
      <c r="G10" s="3">
        <f t="shared" si="0"/>
        <v>241</v>
      </c>
      <c r="H10" s="4">
        <f t="shared" si="1"/>
        <v>24.946058091286307</v>
      </c>
      <c r="I10" s="3"/>
    </row>
    <row r="11" spans="1:9">
      <c r="A11" s="5">
        <v>42446</v>
      </c>
      <c r="B11" s="3" t="s">
        <v>55</v>
      </c>
      <c r="C11" s="8">
        <v>9</v>
      </c>
      <c r="D11" s="3">
        <v>101.2</v>
      </c>
      <c r="E11" s="6">
        <v>4</v>
      </c>
      <c r="F11" s="6">
        <v>6</v>
      </c>
      <c r="G11" s="3">
        <f t="shared" si="0"/>
        <v>246</v>
      </c>
      <c r="H11" s="4">
        <f t="shared" si="1"/>
        <v>24.682926829268293</v>
      </c>
      <c r="I11" s="3"/>
    </row>
    <row r="12" spans="1:9">
      <c r="A12" s="5">
        <v>42448</v>
      </c>
      <c r="B12" s="3" t="s">
        <v>56</v>
      </c>
      <c r="C12" s="8">
        <v>10</v>
      </c>
      <c r="D12" s="3">
        <v>74.64</v>
      </c>
      <c r="E12" s="6">
        <v>2</v>
      </c>
      <c r="F12" s="6">
        <v>49</v>
      </c>
      <c r="G12" s="3">
        <f t="shared" si="0"/>
        <v>169</v>
      </c>
      <c r="H12" s="4">
        <f t="shared" si="1"/>
        <v>26.499408284023669</v>
      </c>
      <c r="I12" s="3"/>
    </row>
    <row r="13" spans="1:9">
      <c r="A13" s="5">
        <v>42451</v>
      </c>
      <c r="B13" s="3" t="s">
        <v>57</v>
      </c>
      <c r="C13" s="8">
        <v>11</v>
      </c>
      <c r="D13" s="3">
        <v>101.44</v>
      </c>
      <c r="E13" s="6">
        <v>4</v>
      </c>
      <c r="F13" s="6">
        <v>7</v>
      </c>
      <c r="G13" s="3">
        <f t="shared" si="0"/>
        <v>247</v>
      </c>
      <c r="H13" s="4">
        <f t="shared" si="1"/>
        <v>24.641295546558702</v>
      </c>
      <c r="I13" s="8" t="s">
        <v>58</v>
      </c>
    </row>
    <row r="14" spans="1:9">
      <c r="A14" s="5">
        <v>42453</v>
      </c>
      <c r="B14" s="3" t="s">
        <v>59</v>
      </c>
      <c r="C14" s="8">
        <v>12</v>
      </c>
      <c r="D14" s="3">
        <v>90.33</v>
      </c>
      <c r="E14" s="6">
        <v>3</v>
      </c>
      <c r="F14" s="6">
        <v>42</v>
      </c>
      <c r="G14" s="3">
        <f t="shared" si="0"/>
        <v>222</v>
      </c>
      <c r="H14" s="4">
        <f t="shared" si="1"/>
        <v>24.413513513513514</v>
      </c>
      <c r="I14" s="3"/>
    </row>
    <row r="15" spans="1:9">
      <c r="A15" s="5">
        <v>42455</v>
      </c>
      <c r="B15" s="3" t="s">
        <v>60</v>
      </c>
      <c r="C15" s="8">
        <v>13</v>
      </c>
      <c r="D15" s="3">
        <v>86.65</v>
      </c>
      <c r="E15" s="6">
        <v>3</v>
      </c>
      <c r="F15" s="6">
        <v>6</v>
      </c>
      <c r="G15" s="3">
        <f t="shared" si="0"/>
        <v>186</v>
      </c>
      <c r="H15" s="4">
        <f t="shared" si="1"/>
        <v>27.951612903225808</v>
      </c>
      <c r="I15" s="8" t="s">
        <v>61</v>
      </c>
    </row>
    <row r="16" spans="1:9">
      <c r="A16" s="5">
        <v>42458</v>
      </c>
      <c r="B16" s="3" t="s">
        <v>204</v>
      </c>
      <c r="C16" s="8">
        <v>14</v>
      </c>
      <c r="D16" s="3">
        <v>23.5</v>
      </c>
      <c r="E16" s="6">
        <v>0</v>
      </c>
      <c r="F16" s="6">
        <v>54</v>
      </c>
      <c r="G16" s="3">
        <f t="shared" si="0"/>
        <v>54</v>
      </c>
      <c r="H16" s="4">
        <f t="shared" si="1"/>
        <v>26.111111111111111</v>
      </c>
      <c r="I16" s="3"/>
    </row>
    <row r="17" spans="1:9">
      <c r="A17" s="5">
        <v>42458</v>
      </c>
      <c r="B17" s="3" t="s">
        <v>62</v>
      </c>
      <c r="C17" s="8">
        <v>15</v>
      </c>
      <c r="D17" s="3">
        <v>61.05</v>
      </c>
      <c r="E17" s="6">
        <v>2</v>
      </c>
      <c r="F17" s="6">
        <v>20</v>
      </c>
      <c r="G17" s="3">
        <f t="shared" si="0"/>
        <v>140</v>
      </c>
      <c r="H17" s="4">
        <f t="shared" si="1"/>
        <v>26.164285714285715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1134.8</v>
      </c>
    </row>
    <row r="25" spans="1:9">
      <c r="B25">
        <f>SUM(Fév!B25+Mar!D24)</f>
        <v>2756.48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J18" sqref="J1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15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42461</v>
      </c>
      <c r="B3" s="8" t="s">
        <v>63</v>
      </c>
      <c r="C3" s="8">
        <v>1</v>
      </c>
      <c r="D3" s="8">
        <v>100.2</v>
      </c>
      <c r="E3" s="9">
        <v>3</v>
      </c>
      <c r="F3" s="9">
        <v>51</v>
      </c>
      <c r="G3" s="8">
        <f>SUM(E3*60+F3)</f>
        <v>231</v>
      </c>
      <c r="H3" s="10">
        <f>SUM(D3/G3*60)</f>
        <v>26.02597402597403</v>
      </c>
      <c r="I3" s="8"/>
    </row>
    <row r="4" spans="1:9">
      <c r="A4" s="5">
        <v>42462</v>
      </c>
      <c r="B4" s="3" t="s">
        <v>64</v>
      </c>
      <c r="C4" s="8">
        <v>2</v>
      </c>
      <c r="D4" s="3">
        <v>84.56</v>
      </c>
      <c r="E4" s="6">
        <v>3</v>
      </c>
      <c r="F4" s="6">
        <v>3</v>
      </c>
      <c r="G4" s="3">
        <f t="shared" ref="G4:G23" si="0">SUM(E4*60+F4)</f>
        <v>183</v>
      </c>
      <c r="H4" s="4">
        <f t="shared" ref="H4:H23" si="1">SUM(D4/G4*60)</f>
        <v>27.724590163934426</v>
      </c>
      <c r="I4" s="3"/>
    </row>
    <row r="5" spans="1:9">
      <c r="A5" s="5">
        <v>42463</v>
      </c>
      <c r="B5" s="3" t="s">
        <v>65</v>
      </c>
      <c r="C5" s="8">
        <v>3</v>
      </c>
      <c r="D5" s="3">
        <v>31.3</v>
      </c>
      <c r="E5" s="6">
        <v>1</v>
      </c>
      <c r="F5" s="6">
        <v>40</v>
      </c>
      <c r="G5" s="3">
        <f t="shared" si="0"/>
        <v>100</v>
      </c>
      <c r="H5" s="4">
        <f t="shared" si="1"/>
        <v>18.78</v>
      </c>
      <c r="I5" s="3" t="s">
        <v>28</v>
      </c>
    </row>
    <row r="6" spans="1:9">
      <c r="A6" s="5">
        <v>42465</v>
      </c>
      <c r="B6" s="3" t="s">
        <v>66</v>
      </c>
      <c r="C6" s="8">
        <v>4</v>
      </c>
      <c r="D6" s="3">
        <v>84.8</v>
      </c>
      <c r="E6" s="6">
        <v>3</v>
      </c>
      <c r="F6" s="6">
        <v>28</v>
      </c>
      <c r="G6" s="3">
        <f t="shared" si="0"/>
        <v>208</v>
      </c>
      <c r="H6" s="4">
        <f t="shared" si="1"/>
        <v>24.46153846153846</v>
      </c>
      <c r="I6" s="3"/>
    </row>
    <row r="7" spans="1:9">
      <c r="A7" s="5">
        <v>42468</v>
      </c>
      <c r="B7" s="3" t="s">
        <v>67</v>
      </c>
      <c r="C7" s="8">
        <v>5</v>
      </c>
      <c r="D7" s="3">
        <v>67.44</v>
      </c>
      <c r="E7" s="6">
        <v>2</v>
      </c>
      <c r="F7" s="6">
        <v>35</v>
      </c>
      <c r="G7" s="3">
        <f t="shared" si="0"/>
        <v>155</v>
      </c>
      <c r="H7" s="4">
        <f t="shared" si="1"/>
        <v>26.105806451612903</v>
      </c>
      <c r="I7" s="3"/>
    </row>
    <row r="8" spans="1:9">
      <c r="A8" s="16">
        <v>42469</v>
      </c>
      <c r="B8" s="15" t="s">
        <v>68</v>
      </c>
      <c r="C8" s="17">
        <v>6</v>
      </c>
      <c r="D8" s="15">
        <v>84.85</v>
      </c>
      <c r="E8" s="18">
        <v>3</v>
      </c>
      <c r="F8" s="18">
        <v>12</v>
      </c>
      <c r="G8" s="15">
        <f t="shared" si="0"/>
        <v>192</v>
      </c>
      <c r="H8" s="19">
        <f t="shared" si="1"/>
        <v>26.515625</v>
      </c>
      <c r="I8" s="15" t="s">
        <v>69</v>
      </c>
    </row>
    <row r="9" spans="1:9">
      <c r="A9" s="16">
        <v>42470</v>
      </c>
      <c r="B9" s="15" t="s">
        <v>70</v>
      </c>
      <c r="C9" s="17">
        <v>7</v>
      </c>
      <c r="D9" s="15">
        <v>125.29</v>
      </c>
      <c r="E9" s="18">
        <v>5</v>
      </c>
      <c r="F9" s="18">
        <v>16</v>
      </c>
      <c r="G9" s="15">
        <f t="shared" si="0"/>
        <v>316</v>
      </c>
      <c r="H9" s="19">
        <f t="shared" si="1"/>
        <v>23.789240506329115</v>
      </c>
      <c r="I9" s="15" t="s">
        <v>71</v>
      </c>
    </row>
    <row r="10" spans="1:9">
      <c r="A10" s="16">
        <v>42472</v>
      </c>
      <c r="B10" s="15" t="s">
        <v>72</v>
      </c>
      <c r="C10" s="17">
        <v>8</v>
      </c>
      <c r="D10" s="15">
        <v>115.04</v>
      </c>
      <c r="E10" s="18">
        <v>4</v>
      </c>
      <c r="F10" s="18">
        <v>39</v>
      </c>
      <c r="G10" s="15">
        <f t="shared" si="0"/>
        <v>279</v>
      </c>
      <c r="H10" s="19">
        <f t="shared" si="1"/>
        <v>24.739784946236558</v>
      </c>
      <c r="I10" s="15"/>
    </row>
    <row r="11" spans="1:9">
      <c r="A11" s="16">
        <v>42476</v>
      </c>
      <c r="B11" s="15" t="s">
        <v>73</v>
      </c>
      <c r="C11" s="17">
        <v>9</v>
      </c>
      <c r="D11" s="15">
        <v>81.83</v>
      </c>
      <c r="E11" s="18">
        <v>3</v>
      </c>
      <c r="F11" s="18">
        <v>11</v>
      </c>
      <c r="G11" s="15">
        <f t="shared" si="0"/>
        <v>191</v>
      </c>
      <c r="H11" s="19">
        <f t="shared" si="1"/>
        <v>25.705759162303664</v>
      </c>
      <c r="I11" s="15"/>
    </row>
    <row r="12" spans="1:9">
      <c r="A12" s="16">
        <v>42479</v>
      </c>
      <c r="B12" s="15" t="s">
        <v>74</v>
      </c>
      <c r="C12" s="17">
        <v>10</v>
      </c>
      <c r="D12" s="15">
        <v>93.06</v>
      </c>
      <c r="E12" s="18">
        <v>3</v>
      </c>
      <c r="F12" s="18">
        <v>23</v>
      </c>
      <c r="G12" s="15">
        <f t="shared" si="0"/>
        <v>203</v>
      </c>
      <c r="H12" s="19">
        <f t="shared" si="1"/>
        <v>27.505418719211825</v>
      </c>
      <c r="I12" s="15"/>
    </row>
    <row r="13" spans="1:9">
      <c r="A13" s="5">
        <v>42481</v>
      </c>
      <c r="B13" s="3" t="s">
        <v>75</v>
      </c>
      <c r="C13" s="8">
        <v>11</v>
      </c>
      <c r="D13" s="3">
        <v>64.319999999999993</v>
      </c>
      <c r="E13" s="6">
        <v>2</v>
      </c>
      <c r="F13" s="6">
        <v>40</v>
      </c>
      <c r="G13" s="3">
        <f t="shared" si="0"/>
        <v>160</v>
      </c>
      <c r="H13" s="4">
        <f t="shared" si="1"/>
        <v>24.119999999999997</v>
      </c>
      <c r="I13" s="3"/>
    </row>
    <row r="14" spans="1:9">
      <c r="A14" s="5">
        <v>42483</v>
      </c>
      <c r="B14" s="3" t="s">
        <v>76</v>
      </c>
      <c r="C14" s="8">
        <v>12</v>
      </c>
      <c r="D14" s="3">
        <v>215.32</v>
      </c>
      <c r="E14" s="6">
        <v>9</v>
      </c>
      <c r="F14" s="6">
        <v>28</v>
      </c>
      <c r="G14" s="3">
        <f t="shared" si="0"/>
        <v>568</v>
      </c>
      <c r="H14" s="4">
        <f t="shared" si="1"/>
        <v>22.74507042253521</v>
      </c>
      <c r="I14" s="3"/>
    </row>
    <row r="15" spans="1:9">
      <c r="A15" s="5">
        <v>42486</v>
      </c>
      <c r="B15" s="3" t="s">
        <v>77</v>
      </c>
      <c r="C15" s="8">
        <v>13</v>
      </c>
      <c r="D15" s="3">
        <v>118.06</v>
      </c>
      <c r="E15" s="6">
        <v>4</v>
      </c>
      <c r="F15" s="6">
        <v>29</v>
      </c>
      <c r="G15" s="3">
        <f t="shared" si="0"/>
        <v>269</v>
      </c>
      <c r="H15" s="4">
        <f t="shared" si="1"/>
        <v>26.333085501858736</v>
      </c>
      <c r="I15" s="3" t="s">
        <v>78</v>
      </c>
    </row>
    <row r="16" spans="1:9">
      <c r="A16" s="5">
        <v>42488</v>
      </c>
      <c r="B16" s="3" t="s">
        <v>79</v>
      </c>
      <c r="C16" s="8">
        <v>14</v>
      </c>
      <c r="D16" s="3">
        <v>121.82</v>
      </c>
      <c r="E16" s="6">
        <v>4</v>
      </c>
      <c r="F16" s="6">
        <v>42</v>
      </c>
      <c r="G16" s="3">
        <f t="shared" si="0"/>
        <v>282</v>
      </c>
      <c r="H16" s="4">
        <f t="shared" si="1"/>
        <v>25.91914893617021</v>
      </c>
      <c r="I16" s="3" t="s">
        <v>80</v>
      </c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1387.8899999999996</v>
      </c>
    </row>
    <row r="25" spans="1:9">
      <c r="B25">
        <f>SUM(Mar!B25+Avr!D24)</f>
        <v>4144.37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topLeftCell="A4" workbookViewId="0">
      <selection activeCell="J7" sqref="J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11" ht="27" thickBot="1">
      <c r="A1" s="36" t="s">
        <v>14</v>
      </c>
      <c r="B1" s="36"/>
      <c r="C1" s="36"/>
      <c r="D1" s="36"/>
      <c r="E1" s="36"/>
      <c r="F1" s="36"/>
      <c r="G1" s="36"/>
      <c r="H1" s="36"/>
      <c r="I1" s="36"/>
    </row>
    <row r="2" spans="1:11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11">
      <c r="A3" s="7">
        <v>42493</v>
      </c>
      <c r="B3" s="8" t="s">
        <v>81</v>
      </c>
      <c r="C3" s="8">
        <v>1</v>
      </c>
      <c r="D3" s="8">
        <v>147.59</v>
      </c>
      <c r="E3" s="9">
        <v>5</v>
      </c>
      <c r="F3" s="9">
        <v>34</v>
      </c>
      <c r="G3" s="8">
        <f>SUM(E3*60+F3)</f>
        <v>334</v>
      </c>
      <c r="H3" s="10">
        <f>SUM(D3/G3*60)</f>
        <v>26.513173652694611</v>
      </c>
      <c r="I3" s="8" t="s">
        <v>20</v>
      </c>
    </row>
    <row r="4" spans="1:11">
      <c r="A4" s="7">
        <v>42493</v>
      </c>
      <c r="B4" s="8" t="s">
        <v>203</v>
      </c>
      <c r="C4" s="8">
        <v>1</v>
      </c>
      <c r="D4" s="3">
        <v>147</v>
      </c>
      <c r="E4" s="6">
        <v>5</v>
      </c>
      <c r="F4" s="6">
        <v>33</v>
      </c>
      <c r="G4" s="3">
        <f t="shared" ref="G4" si="0">SUM(E4*60+F4)</f>
        <v>333</v>
      </c>
      <c r="H4" s="4">
        <f t="shared" ref="H4" si="1">SUM(D4/G4*60)</f>
        <v>26.486486486486484</v>
      </c>
      <c r="I4" s="8"/>
    </row>
    <row r="5" spans="1:11">
      <c r="A5" s="5">
        <v>42497</v>
      </c>
      <c r="B5" s="3" t="s">
        <v>82</v>
      </c>
      <c r="C5" s="8">
        <v>2</v>
      </c>
      <c r="D5" s="3">
        <v>304.02</v>
      </c>
      <c r="E5" s="6">
        <v>12</v>
      </c>
      <c r="F5" s="6">
        <v>24</v>
      </c>
      <c r="G5" s="3">
        <f t="shared" ref="G5:G24" si="2">SUM(E5*60+F5)</f>
        <v>744</v>
      </c>
      <c r="H5" s="4">
        <f t="shared" ref="H5:H24" si="3">SUM(D5/G5*60)</f>
        <v>24.517741935483873</v>
      </c>
      <c r="I5" s="3"/>
    </row>
    <row r="6" spans="1:11">
      <c r="A6" s="16">
        <v>42500</v>
      </c>
      <c r="B6" t="s">
        <v>83</v>
      </c>
      <c r="C6" s="17">
        <v>3</v>
      </c>
      <c r="D6" s="15">
        <v>117.32</v>
      </c>
      <c r="E6" s="18">
        <v>4</v>
      </c>
      <c r="F6" s="18">
        <v>9</v>
      </c>
      <c r="G6" s="15">
        <f t="shared" si="2"/>
        <v>249</v>
      </c>
      <c r="H6" s="19">
        <f t="shared" si="3"/>
        <v>28.269879518072287</v>
      </c>
      <c r="I6" s="15"/>
    </row>
    <row r="7" spans="1:11">
      <c r="A7" s="16">
        <v>42504</v>
      </c>
      <c r="B7" s="15" t="s">
        <v>84</v>
      </c>
      <c r="C7" s="17">
        <v>4</v>
      </c>
      <c r="D7" s="15">
        <v>84.5</v>
      </c>
      <c r="E7" s="18">
        <v>3</v>
      </c>
      <c r="F7" s="18">
        <v>23</v>
      </c>
      <c r="G7" s="15">
        <f t="shared" si="2"/>
        <v>203</v>
      </c>
      <c r="H7" s="19">
        <f t="shared" si="3"/>
        <v>24.975369458128078</v>
      </c>
      <c r="I7" s="15"/>
    </row>
    <row r="8" spans="1:11">
      <c r="A8" s="16">
        <v>42507</v>
      </c>
      <c r="B8" s="15" t="s">
        <v>85</v>
      </c>
      <c r="C8" s="17">
        <v>5</v>
      </c>
      <c r="D8" s="15">
        <v>112.4</v>
      </c>
      <c r="E8" s="18">
        <v>4</v>
      </c>
      <c r="F8" s="18">
        <v>30</v>
      </c>
      <c r="G8" s="15">
        <f t="shared" si="2"/>
        <v>270</v>
      </c>
      <c r="H8" s="19">
        <f t="shared" si="3"/>
        <v>24.977777777777781</v>
      </c>
      <c r="I8" s="15"/>
    </row>
    <row r="9" spans="1:11">
      <c r="A9" s="16">
        <v>42509</v>
      </c>
      <c r="B9" s="15" t="s">
        <v>86</v>
      </c>
      <c r="C9" s="17">
        <v>6</v>
      </c>
      <c r="D9" s="15">
        <v>110.39</v>
      </c>
      <c r="E9" s="18">
        <v>4</v>
      </c>
      <c r="F9" s="18">
        <v>32</v>
      </c>
      <c r="G9" s="15">
        <f t="shared" si="2"/>
        <v>272</v>
      </c>
      <c r="H9" s="19">
        <f t="shared" si="3"/>
        <v>24.350735294117644</v>
      </c>
      <c r="I9" s="15"/>
    </row>
    <row r="10" spans="1:11">
      <c r="A10" s="16">
        <v>42511</v>
      </c>
      <c r="B10" s="15" t="s">
        <v>87</v>
      </c>
      <c r="C10" s="17">
        <v>7</v>
      </c>
      <c r="D10" s="15">
        <v>62.07</v>
      </c>
      <c r="E10" s="18">
        <v>2</v>
      </c>
      <c r="F10" s="18">
        <v>29</v>
      </c>
      <c r="G10" s="15">
        <f t="shared" si="2"/>
        <v>149</v>
      </c>
      <c r="H10" s="19">
        <f t="shared" si="3"/>
        <v>24.994630872483221</v>
      </c>
      <c r="I10" s="15"/>
      <c r="K10" s="23"/>
    </row>
    <row r="11" spans="1:11">
      <c r="A11" s="16">
        <v>42513</v>
      </c>
      <c r="B11" s="15" t="s">
        <v>88</v>
      </c>
      <c r="C11" s="17">
        <v>8</v>
      </c>
      <c r="D11" s="15">
        <v>9</v>
      </c>
      <c r="E11" s="18">
        <v>0</v>
      </c>
      <c r="F11" s="18">
        <v>30</v>
      </c>
      <c r="G11" s="15">
        <f t="shared" si="2"/>
        <v>30</v>
      </c>
      <c r="H11" s="19">
        <f t="shared" si="3"/>
        <v>18</v>
      </c>
      <c r="I11" s="15" t="s">
        <v>104</v>
      </c>
    </row>
    <row r="12" spans="1:11">
      <c r="A12" s="16">
        <v>42514</v>
      </c>
      <c r="B12" s="15" t="s">
        <v>89</v>
      </c>
      <c r="C12" s="17">
        <v>9</v>
      </c>
      <c r="D12" s="15">
        <v>57</v>
      </c>
      <c r="E12" s="18">
        <v>2</v>
      </c>
      <c r="F12" s="18">
        <v>37</v>
      </c>
      <c r="G12" s="15">
        <f t="shared" si="2"/>
        <v>157</v>
      </c>
      <c r="H12" s="19">
        <f t="shared" si="3"/>
        <v>21.783439490445858</v>
      </c>
      <c r="I12" s="15" t="s">
        <v>104</v>
      </c>
    </row>
    <row r="13" spans="1:11">
      <c r="A13" s="16">
        <v>42515</v>
      </c>
      <c r="B13" s="15" t="s">
        <v>90</v>
      </c>
      <c r="C13" s="17">
        <v>10</v>
      </c>
      <c r="D13" s="15">
        <v>35</v>
      </c>
      <c r="E13" s="18">
        <v>1</v>
      </c>
      <c r="F13" s="18">
        <v>44</v>
      </c>
      <c r="G13" s="15">
        <f t="shared" si="2"/>
        <v>104</v>
      </c>
      <c r="H13" s="19">
        <f t="shared" si="3"/>
        <v>20.192307692307693</v>
      </c>
      <c r="I13" s="15" t="s">
        <v>104</v>
      </c>
    </row>
    <row r="14" spans="1:11">
      <c r="A14" s="5">
        <v>42516</v>
      </c>
      <c r="B14" s="3" t="s">
        <v>91</v>
      </c>
      <c r="C14" s="8">
        <v>11</v>
      </c>
      <c r="D14" s="3">
        <v>52.5</v>
      </c>
      <c r="E14" s="6">
        <v>2</v>
      </c>
      <c r="F14" s="6">
        <v>28</v>
      </c>
      <c r="G14" s="3">
        <f t="shared" si="2"/>
        <v>148</v>
      </c>
      <c r="H14" s="4">
        <f t="shared" si="3"/>
        <v>21.283783783783782</v>
      </c>
      <c r="I14" s="15" t="s">
        <v>104</v>
      </c>
    </row>
    <row r="15" spans="1:11">
      <c r="A15" s="5">
        <v>42517</v>
      </c>
      <c r="B15" s="3" t="s">
        <v>92</v>
      </c>
      <c r="C15" s="8">
        <v>12</v>
      </c>
      <c r="D15" s="3">
        <v>41.2</v>
      </c>
      <c r="E15" s="6">
        <v>1</v>
      </c>
      <c r="F15" s="6">
        <v>44</v>
      </c>
      <c r="G15" s="3">
        <f t="shared" si="2"/>
        <v>104</v>
      </c>
      <c r="H15" s="4">
        <f t="shared" si="3"/>
        <v>23.76923076923077</v>
      </c>
      <c r="I15" s="15" t="s">
        <v>104</v>
      </c>
    </row>
    <row r="16" spans="1:11">
      <c r="A16" s="5">
        <v>42518</v>
      </c>
      <c r="B16" s="3" t="s">
        <v>93</v>
      </c>
      <c r="C16" s="8">
        <v>13</v>
      </c>
      <c r="D16" s="3">
        <v>63</v>
      </c>
      <c r="E16" s="6">
        <v>2</v>
      </c>
      <c r="F16" s="6">
        <v>50</v>
      </c>
      <c r="G16" s="3">
        <f t="shared" si="2"/>
        <v>170</v>
      </c>
      <c r="H16" s="4">
        <f t="shared" si="3"/>
        <v>22.235294117647058</v>
      </c>
      <c r="I16" s="15" t="s">
        <v>104</v>
      </c>
    </row>
    <row r="17" spans="1:9">
      <c r="A17" s="5">
        <v>42520</v>
      </c>
      <c r="B17" s="3" t="s">
        <v>94</v>
      </c>
      <c r="C17" s="8">
        <v>14</v>
      </c>
      <c r="D17" s="3">
        <v>58</v>
      </c>
      <c r="E17" s="6">
        <v>2</v>
      </c>
      <c r="F17" s="6">
        <v>42</v>
      </c>
      <c r="G17" s="3">
        <f t="shared" si="2"/>
        <v>162</v>
      </c>
      <c r="H17" s="4">
        <f t="shared" si="3"/>
        <v>21.481481481481481</v>
      </c>
      <c r="I17" s="15" t="s">
        <v>104</v>
      </c>
    </row>
    <row r="18" spans="1:9">
      <c r="A18" s="5"/>
      <c r="B18" s="3"/>
      <c r="C18" s="8">
        <v>15</v>
      </c>
      <c r="D18" s="3"/>
      <c r="E18" s="6"/>
      <c r="F18" s="6"/>
      <c r="G18" s="3">
        <f t="shared" si="2"/>
        <v>0</v>
      </c>
      <c r="H18" s="4" t="e">
        <f t="shared" si="3"/>
        <v>#DIV/0!</v>
      </c>
      <c r="I18" s="3"/>
    </row>
    <row r="19" spans="1:9">
      <c r="A19" s="5"/>
      <c r="B19" s="3"/>
      <c r="C19" s="8">
        <v>16</v>
      </c>
      <c r="D19" s="3"/>
      <c r="E19" s="6"/>
      <c r="F19" s="6"/>
      <c r="G19" s="3">
        <f t="shared" si="2"/>
        <v>0</v>
      </c>
      <c r="H19" s="4" t="e">
        <f t="shared" si="3"/>
        <v>#DIV/0!</v>
      </c>
      <c r="I19" s="3"/>
    </row>
    <row r="20" spans="1:9">
      <c r="A20" s="5"/>
      <c r="B20" s="3"/>
      <c r="C20" s="8">
        <v>17</v>
      </c>
      <c r="D20" s="3"/>
      <c r="E20" s="6"/>
      <c r="F20" s="6"/>
      <c r="G20" s="3">
        <f t="shared" si="2"/>
        <v>0</v>
      </c>
      <c r="H20" s="4" t="e">
        <f t="shared" si="3"/>
        <v>#DIV/0!</v>
      </c>
      <c r="I20" s="3"/>
    </row>
    <row r="21" spans="1:9">
      <c r="A21" s="5"/>
      <c r="B21" s="3"/>
      <c r="C21" s="8">
        <v>18</v>
      </c>
      <c r="D21" s="3"/>
      <c r="E21" s="6"/>
      <c r="F21" s="6"/>
      <c r="G21" s="3">
        <f t="shared" si="2"/>
        <v>0</v>
      </c>
      <c r="H21" s="4" t="e">
        <f t="shared" si="3"/>
        <v>#DIV/0!</v>
      </c>
      <c r="I21" s="3"/>
    </row>
    <row r="22" spans="1:9">
      <c r="A22" s="5"/>
      <c r="B22" s="3"/>
      <c r="C22" s="8">
        <v>19</v>
      </c>
      <c r="D22" s="3"/>
      <c r="E22" s="6"/>
      <c r="F22" s="6"/>
      <c r="G22" s="3">
        <f t="shared" si="2"/>
        <v>0</v>
      </c>
      <c r="H22" s="4" t="e">
        <f t="shared" si="3"/>
        <v>#DIV/0!</v>
      </c>
      <c r="I22" s="3"/>
    </row>
    <row r="23" spans="1:9">
      <c r="A23" s="5"/>
      <c r="B23" s="3"/>
      <c r="C23" s="8">
        <v>20</v>
      </c>
      <c r="D23" s="3"/>
      <c r="E23" s="6"/>
      <c r="F23" s="6"/>
      <c r="G23" s="3">
        <f t="shared" si="2"/>
        <v>0</v>
      </c>
      <c r="H23" s="4" t="e">
        <f t="shared" si="3"/>
        <v>#DIV/0!</v>
      </c>
      <c r="I23" s="3"/>
    </row>
    <row r="24" spans="1:9">
      <c r="A24" s="5"/>
      <c r="B24" s="3"/>
      <c r="C24" s="3"/>
      <c r="D24" s="3"/>
      <c r="E24" s="6"/>
      <c r="F24" s="6"/>
      <c r="G24" s="3">
        <f t="shared" si="2"/>
        <v>0</v>
      </c>
      <c r="H24" s="4" t="e">
        <f t="shared" si="3"/>
        <v>#DIV/0!</v>
      </c>
      <c r="I24" s="3"/>
    </row>
    <row r="25" spans="1:9">
      <c r="D25">
        <f>SUM(D3:D24)</f>
        <v>1400.99</v>
      </c>
    </row>
    <row r="26" spans="1:9">
      <c r="B26">
        <f>SUM(Avr!B25+Mai!D25)</f>
        <v>5545.36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A21" sqref="A21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13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42523</v>
      </c>
      <c r="B3" s="8" t="s">
        <v>95</v>
      </c>
      <c r="C3" s="8">
        <v>1</v>
      </c>
      <c r="D3" s="8">
        <v>71</v>
      </c>
      <c r="E3" s="9">
        <v>3</v>
      </c>
      <c r="F3" s="9">
        <v>17</v>
      </c>
      <c r="G3" s="8">
        <f>SUM(E3*60+F3)</f>
        <v>197</v>
      </c>
      <c r="H3" s="10">
        <f>SUM(D3/G3*60)</f>
        <v>21.624365482233504</v>
      </c>
      <c r="I3" s="15" t="s">
        <v>104</v>
      </c>
    </row>
    <row r="4" spans="1:9">
      <c r="A4" s="5">
        <v>42524</v>
      </c>
      <c r="B4" s="3" t="s">
        <v>96</v>
      </c>
      <c r="C4" s="8">
        <v>2</v>
      </c>
      <c r="D4" s="3">
        <v>50</v>
      </c>
      <c r="E4" s="6">
        <v>2</v>
      </c>
      <c r="F4" s="6">
        <v>22</v>
      </c>
      <c r="G4" s="3">
        <f t="shared" ref="G4:G23" si="0">SUM(E4*60+F4)</f>
        <v>142</v>
      </c>
      <c r="H4" s="4">
        <f t="shared" ref="H4:H23" si="1">SUM(D4/G4*60)</f>
        <v>21.12676056338028</v>
      </c>
      <c r="I4" s="15" t="s">
        <v>104</v>
      </c>
    </row>
    <row r="5" spans="1:9">
      <c r="A5" s="5">
        <v>42525</v>
      </c>
      <c r="B5" s="3" t="s">
        <v>97</v>
      </c>
      <c r="C5" s="8">
        <v>3</v>
      </c>
      <c r="D5" s="3">
        <v>69</v>
      </c>
      <c r="E5" s="6">
        <v>3</v>
      </c>
      <c r="F5" s="6">
        <v>12</v>
      </c>
      <c r="G5" s="3">
        <f t="shared" si="0"/>
        <v>192</v>
      </c>
      <c r="H5" s="4">
        <f t="shared" si="1"/>
        <v>21.5625</v>
      </c>
      <c r="I5" s="15" t="s">
        <v>104</v>
      </c>
    </row>
    <row r="6" spans="1:9">
      <c r="A6" s="16">
        <v>42527</v>
      </c>
      <c r="B6" s="15" t="s">
        <v>98</v>
      </c>
      <c r="C6" s="17">
        <v>4</v>
      </c>
      <c r="D6" s="15">
        <v>68.2</v>
      </c>
      <c r="E6" s="18">
        <v>3</v>
      </c>
      <c r="F6" s="18">
        <v>9</v>
      </c>
      <c r="G6" s="15">
        <f t="shared" si="0"/>
        <v>189</v>
      </c>
      <c r="H6" s="19">
        <f t="shared" si="1"/>
        <v>21.650793650793652</v>
      </c>
      <c r="I6" s="15" t="s">
        <v>104</v>
      </c>
    </row>
    <row r="7" spans="1:9">
      <c r="A7" s="16">
        <v>42528</v>
      </c>
      <c r="B7" s="15" t="s">
        <v>99</v>
      </c>
      <c r="C7" s="17">
        <v>5</v>
      </c>
      <c r="D7" s="15">
        <v>72.5</v>
      </c>
      <c r="E7" s="18">
        <v>3</v>
      </c>
      <c r="F7" s="18">
        <v>6</v>
      </c>
      <c r="G7" s="15">
        <f t="shared" si="0"/>
        <v>186</v>
      </c>
      <c r="H7" s="19">
        <f t="shared" si="1"/>
        <v>23.387096774193548</v>
      </c>
      <c r="I7" s="15" t="s">
        <v>104</v>
      </c>
    </row>
    <row r="8" spans="1:9">
      <c r="A8" s="16">
        <v>42529</v>
      </c>
      <c r="B8" s="15" t="s">
        <v>101</v>
      </c>
      <c r="C8" s="17">
        <v>6</v>
      </c>
      <c r="D8" s="15">
        <v>30</v>
      </c>
      <c r="E8" s="18">
        <v>1</v>
      </c>
      <c r="F8" s="18">
        <v>38</v>
      </c>
      <c r="G8" s="15">
        <f t="shared" si="0"/>
        <v>98</v>
      </c>
      <c r="H8" s="19">
        <f t="shared" si="1"/>
        <v>18.367346938775512</v>
      </c>
      <c r="I8" s="15" t="s">
        <v>104</v>
      </c>
    </row>
    <row r="9" spans="1:9">
      <c r="A9" s="16">
        <v>42529</v>
      </c>
      <c r="B9" s="15" t="s">
        <v>103</v>
      </c>
      <c r="C9" s="17">
        <v>7</v>
      </c>
      <c r="D9" s="15">
        <v>72.5</v>
      </c>
      <c r="E9" s="18">
        <v>3</v>
      </c>
      <c r="F9" s="18">
        <v>2</v>
      </c>
      <c r="G9" s="15">
        <f t="shared" si="0"/>
        <v>182</v>
      </c>
      <c r="H9" s="19">
        <f t="shared" si="1"/>
        <v>23.901098901098898</v>
      </c>
      <c r="I9" s="15" t="s">
        <v>104</v>
      </c>
    </row>
    <row r="10" spans="1:9">
      <c r="A10" s="16">
        <v>42530</v>
      </c>
      <c r="B10" s="15" t="s">
        <v>102</v>
      </c>
      <c r="C10" s="17">
        <v>8</v>
      </c>
      <c r="D10" s="15">
        <v>66.5</v>
      </c>
      <c r="E10" s="18">
        <v>3</v>
      </c>
      <c r="F10" s="18">
        <v>3</v>
      </c>
      <c r="G10" s="15">
        <f t="shared" si="0"/>
        <v>183</v>
      </c>
      <c r="H10" s="19">
        <f t="shared" si="1"/>
        <v>21.803278688524593</v>
      </c>
      <c r="I10" s="15" t="s">
        <v>104</v>
      </c>
    </row>
    <row r="11" spans="1:9">
      <c r="A11" s="16">
        <v>42532</v>
      </c>
      <c r="B11" s="15" t="s">
        <v>100</v>
      </c>
      <c r="C11" s="17">
        <v>9</v>
      </c>
      <c r="D11" s="15">
        <v>70.2</v>
      </c>
      <c r="E11" s="18">
        <v>3</v>
      </c>
      <c r="F11" s="18">
        <v>2</v>
      </c>
      <c r="G11" s="15">
        <f t="shared" si="0"/>
        <v>182</v>
      </c>
      <c r="H11" s="19">
        <f t="shared" si="1"/>
        <v>23.142857142857142</v>
      </c>
      <c r="I11" s="15" t="s">
        <v>104</v>
      </c>
    </row>
    <row r="12" spans="1:9">
      <c r="A12" s="16">
        <v>42534</v>
      </c>
      <c r="B12" s="15" t="s">
        <v>105</v>
      </c>
      <c r="C12" s="17">
        <v>10</v>
      </c>
      <c r="D12" s="15">
        <v>31</v>
      </c>
      <c r="E12" s="18">
        <v>1</v>
      </c>
      <c r="F12" s="18">
        <v>30</v>
      </c>
      <c r="G12" s="15">
        <f t="shared" si="0"/>
        <v>90</v>
      </c>
      <c r="H12" s="19">
        <f t="shared" si="1"/>
        <v>20.666666666666668</v>
      </c>
      <c r="I12" s="15" t="s">
        <v>106</v>
      </c>
    </row>
    <row r="13" spans="1:9">
      <c r="A13" s="16">
        <v>42535</v>
      </c>
      <c r="B13" s="15" t="s">
        <v>107</v>
      </c>
      <c r="C13" s="17">
        <v>11</v>
      </c>
      <c r="D13" s="15">
        <v>84</v>
      </c>
      <c r="E13" s="18"/>
      <c r="F13" s="18"/>
      <c r="G13" s="15">
        <f t="shared" si="0"/>
        <v>0</v>
      </c>
      <c r="H13" s="19" t="e">
        <f t="shared" si="1"/>
        <v>#DIV/0!</v>
      </c>
      <c r="I13" s="15" t="s">
        <v>106</v>
      </c>
    </row>
    <row r="14" spans="1:9">
      <c r="A14" s="16">
        <v>42536</v>
      </c>
      <c r="B14" s="15" t="s">
        <v>108</v>
      </c>
      <c r="C14" s="17">
        <v>12</v>
      </c>
      <c r="D14" s="15">
        <v>137</v>
      </c>
      <c r="E14" s="18"/>
      <c r="F14" s="18"/>
      <c r="G14" s="15">
        <f t="shared" si="0"/>
        <v>0</v>
      </c>
      <c r="H14" s="19" t="e">
        <f t="shared" si="1"/>
        <v>#DIV/0!</v>
      </c>
      <c r="I14" s="15" t="s">
        <v>106</v>
      </c>
    </row>
    <row r="15" spans="1:9">
      <c r="A15" s="16">
        <v>42537</v>
      </c>
      <c r="B15" s="15" t="s">
        <v>109</v>
      </c>
      <c r="C15" s="17">
        <v>13</v>
      </c>
      <c r="D15" s="15">
        <v>42</v>
      </c>
      <c r="E15" s="18">
        <v>1</v>
      </c>
      <c r="F15" s="18">
        <v>50</v>
      </c>
      <c r="G15" s="15">
        <f t="shared" si="0"/>
        <v>110</v>
      </c>
      <c r="H15" s="19">
        <f t="shared" si="1"/>
        <v>22.90909090909091</v>
      </c>
      <c r="I15" s="15" t="s">
        <v>106</v>
      </c>
    </row>
    <row r="16" spans="1:9">
      <c r="A16" s="16">
        <v>42539</v>
      </c>
      <c r="B16" s="15" t="s">
        <v>110</v>
      </c>
      <c r="C16" s="17">
        <v>14</v>
      </c>
      <c r="D16" s="15">
        <v>84</v>
      </c>
      <c r="E16" s="18">
        <v>3</v>
      </c>
      <c r="F16" s="18">
        <v>7</v>
      </c>
      <c r="G16" s="15">
        <f t="shared" si="0"/>
        <v>187</v>
      </c>
      <c r="H16" s="19">
        <f t="shared" si="1"/>
        <v>26.951871657754012</v>
      </c>
      <c r="I16" s="15"/>
    </row>
    <row r="17" spans="1:9">
      <c r="A17" s="16">
        <v>42542</v>
      </c>
      <c r="B17" s="15" t="s">
        <v>111</v>
      </c>
      <c r="C17" s="17">
        <v>15</v>
      </c>
      <c r="D17" s="15">
        <v>115</v>
      </c>
      <c r="E17" s="18">
        <v>4</v>
      </c>
      <c r="F17" s="18">
        <v>7</v>
      </c>
      <c r="G17" s="15">
        <f t="shared" si="0"/>
        <v>247</v>
      </c>
      <c r="H17" s="19">
        <f t="shared" si="1"/>
        <v>27.935222672064778</v>
      </c>
      <c r="I17" s="15"/>
    </row>
    <row r="18" spans="1:9">
      <c r="A18" s="5">
        <v>42544</v>
      </c>
      <c r="B18" s="15" t="s">
        <v>112</v>
      </c>
      <c r="C18" s="8">
        <v>16</v>
      </c>
      <c r="D18" s="3">
        <v>107.5</v>
      </c>
      <c r="E18" s="6">
        <v>4</v>
      </c>
      <c r="F18" s="6">
        <v>17</v>
      </c>
      <c r="G18" s="3">
        <f t="shared" si="0"/>
        <v>257</v>
      </c>
      <c r="H18" s="4">
        <f t="shared" si="1"/>
        <v>25.097276264591439</v>
      </c>
      <c r="I18" s="3"/>
    </row>
    <row r="19" spans="1:9">
      <c r="A19" s="5">
        <v>42546</v>
      </c>
      <c r="B19" s="15" t="s">
        <v>113</v>
      </c>
      <c r="C19" s="8">
        <v>17</v>
      </c>
      <c r="D19" s="3">
        <v>78</v>
      </c>
      <c r="E19" s="6">
        <v>3</v>
      </c>
      <c r="F19" s="6">
        <v>7</v>
      </c>
      <c r="G19" s="3">
        <f t="shared" si="0"/>
        <v>187</v>
      </c>
      <c r="H19" s="4">
        <f t="shared" si="1"/>
        <v>25.026737967914439</v>
      </c>
      <c r="I19" s="3"/>
    </row>
    <row r="20" spans="1:9">
      <c r="A20" s="5">
        <v>42549</v>
      </c>
      <c r="B20" s="3" t="s">
        <v>114</v>
      </c>
      <c r="C20" s="8">
        <v>18</v>
      </c>
      <c r="D20" s="3">
        <v>95</v>
      </c>
      <c r="E20" s="6">
        <v>3</v>
      </c>
      <c r="F20" s="6">
        <v>50</v>
      </c>
      <c r="G20" s="3">
        <f t="shared" si="0"/>
        <v>230</v>
      </c>
      <c r="H20" s="4">
        <f t="shared" si="1"/>
        <v>24.782608695652176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1343.4</v>
      </c>
    </row>
    <row r="25" spans="1:9">
      <c r="B25">
        <f>SUM(Mai!B26+Juin!D24)</f>
        <v>6888.76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G13" sqref="G13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12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20">
        <v>42552</v>
      </c>
      <c r="B3" s="17" t="s">
        <v>115</v>
      </c>
      <c r="C3" s="17">
        <v>1</v>
      </c>
      <c r="D3" s="17">
        <v>103.34</v>
      </c>
      <c r="E3" s="21">
        <v>3</v>
      </c>
      <c r="F3" s="21">
        <v>57</v>
      </c>
      <c r="G3" s="17">
        <f>SUM(E3*60+F3)</f>
        <v>237</v>
      </c>
      <c r="H3" s="22">
        <f>SUM(D3/G3*60)</f>
        <v>26.162025316455697</v>
      </c>
      <c r="I3" s="17" t="s">
        <v>20</v>
      </c>
    </row>
    <row r="4" spans="1:9">
      <c r="A4" s="16">
        <v>42555</v>
      </c>
      <c r="B4" s="15" t="s">
        <v>116</v>
      </c>
      <c r="C4" s="17">
        <v>2</v>
      </c>
      <c r="D4" s="15">
        <v>108</v>
      </c>
      <c r="E4" s="18">
        <v>4</v>
      </c>
      <c r="F4" s="18">
        <v>13</v>
      </c>
      <c r="G4" s="15">
        <f t="shared" ref="G4:G23" si="0">SUM(E4*60+F4)</f>
        <v>253</v>
      </c>
      <c r="H4" s="19">
        <f t="shared" ref="H4:H23" si="1">SUM(D4/G4*60)</f>
        <v>25.612648221343871</v>
      </c>
      <c r="I4" s="15" t="s">
        <v>20</v>
      </c>
    </row>
    <row r="5" spans="1:9">
      <c r="A5" s="16">
        <v>42558</v>
      </c>
      <c r="B5" s="15" t="s">
        <v>117</v>
      </c>
      <c r="C5" s="17">
        <v>3</v>
      </c>
      <c r="D5" s="15">
        <v>93</v>
      </c>
      <c r="E5" s="18">
        <v>3</v>
      </c>
      <c r="F5" s="18">
        <v>52</v>
      </c>
      <c r="G5" s="15">
        <f t="shared" si="0"/>
        <v>232</v>
      </c>
      <c r="H5" s="19">
        <f t="shared" si="1"/>
        <v>24.051724137931036</v>
      </c>
      <c r="I5" s="15"/>
    </row>
    <row r="6" spans="1:9">
      <c r="A6" s="16">
        <v>42560</v>
      </c>
      <c r="B6" s="15" t="s">
        <v>118</v>
      </c>
      <c r="C6" s="17">
        <v>4</v>
      </c>
      <c r="D6" s="15">
        <v>85</v>
      </c>
      <c r="E6" s="18">
        <v>3</v>
      </c>
      <c r="F6" s="18">
        <v>25</v>
      </c>
      <c r="G6" s="15">
        <f t="shared" si="0"/>
        <v>205</v>
      </c>
      <c r="H6" s="19">
        <f t="shared" si="1"/>
        <v>24.878048780487802</v>
      </c>
      <c r="I6" s="15"/>
    </row>
    <row r="7" spans="1:9">
      <c r="A7" s="16">
        <v>42563</v>
      </c>
      <c r="B7" s="15" t="s">
        <v>119</v>
      </c>
      <c r="C7" s="17">
        <v>5</v>
      </c>
      <c r="D7" s="15">
        <v>142</v>
      </c>
      <c r="E7" s="18">
        <v>5</v>
      </c>
      <c r="F7" s="18">
        <v>56</v>
      </c>
      <c r="G7" s="15">
        <f t="shared" si="0"/>
        <v>356</v>
      </c>
      <c r="H7" s="19">
        <f t="shared" si="1"/>
        <v>23.932584269662918</v>
      </c>
      <c r="I7" s="15"/>
    </row>
    <row r="8" spans="1:9">
      <c r="A8" s="16">
        <v>42567</v>
      </c>
      <c r="B8" s="15" t="s">
        <v>120</v>
      </c>
      <c r="C8" s="17">
        <v>6</v>
      </c>
      <c r="D8" s="15">
        <v>82.2</v>
      </c>
      <c r="E8" s="18">
        <v>3</v>
      </c>
      <c r="F8" s="18">
        <v>20</v>
      </c>
      <c r="G8" s="15">
        <f t="shared" si="0"/>
        <v>200</v>
      </c>
      <c r="H8" s="19">
        <f t="shared" si="1"/>
        <v>24.660000000000004</v>
      </c>
      <c r="I8" s="15"/>
    </row>
    <row r="9" spans="1:9">
      <c r="A9" s="16">
        <v>42570</v>
      </c>
      <c r="B9" s="15" t="s">
        <v>121</v>
      </c>
      <c r="C9" s="17">
        <v>7</v>
      </c>
      <c r="D9" s="15">
        <v>100.76</v>
      </c>
      <c r="E9" s="18">
        <v>3</v>
      </c>
      <c r="F9" s="18">
        <v>48</v>
      </c>
      <c r="G9" s="15">
        <f t="shared" si="0"/>
        <v>228</v>
      </c>
      <c r="H9" s="19">
        <f t="shared" si="1"/>
        <v>26.515789473684212</v>
      </c>
      <c r="I9" s="15"/>
    </row>
    <row r="10" spans="1:9">
      <c r="A10" s="16">
        <v>42572</v>
      </c>
      <c r="B10" s="15" t="s">
        <v>122</v>
      </c>
      <c r="C10" s="17">
        <v>8</v>
      </c>
      <c r="D10" s="15">
        <v>110</v>
      </c>
      <c r="E10" s="18">
        <v>4</v>
      </c>
      <c r="F10" s="18">
        <v>34</v>
      </c>
      <c r="G10" s="15">
        <f t="shared" si="0"/>
        <v>274</v>
      </c>
      <c r="H10" s="19">
        <f t="shared" si="1"/>
        <v>24.087591240875913</v>
      </c>
      <c r="I10" s="15"/>
    </row>
    <row r="11" spans="1:9">
      <c r="A11" s="16">
        <v>42574</v>
      </c>
      <c r="B11" s="15" t="s">
        <v>123</v>
      </c>
      <c r="C11" s="17">
        <v>9</v>
      </c>
      <c r="D11" s="15">
        <v>92</v>
      </c>
      <c r="E11" s="18">
        <v>3</v>
      </c>
      <c r="F11" s="18">
        <v>18</v>
      </c>
      <c r="G11" s="15">
        <f t="shared" si="0"/>
        <v>198</v>
      </c>
      <c r="H11" s="19">
        <f t="shared" si="1"/>
        <v>27.878787878787879</v>
      </c>
      <c r="I11" s="15"/>
    </row>
    <row r="12" spans="1:9">
      <c r="A12" s="16">
        <v>42577</v>
      </c>
      <c r="B12" s="15" t="s">
        <v>124</v>
      </c>
      <c r="C12" s="17">
        <v>10</v>
      </c>
      <c r="D12" s="15">
        <v>105.53</v>
      </c>
      <c r="E12" s="18">
        <v>4</v>
      </c>
      <c r="F12" s="18">
        <v>13</v>
      </c>
      <c r="G12" s="15">
        <f t="shared" si="0"/>
        <v>253</v>
      </c>
      <c r="H12" s="19">
        <f t="shared" si="1"/>
        <v>25.026877470355732</v>
      </c>
      <c r="I12" s="15"/>
    </row>
    <row r="13" spans="1:9">
      <c r="A13" s="16">
        <v>42581</v>
      </c>
      <c r="B13" s="15" t="s">
        <v>125</v>
      </c>
      <c r="C13" s="17">
        <v>11</v>
      </c>
      <c r="D13" s="15">
        <v>87.4</v>
      </c>
      <c r="E13" s="18">
        <v>3</v>
      </c>
      <c r="F13" s="18">
        <v>33</v>
      </c>
      <c r="G13" s="15">
        <f t="shared" si="0"/>
        <v>213</v>
      </c>
      <c r="H13" s="19">
        <f t="shared" si="1"/>
        <v>24.619718309859156</v>
      </c>
      <c r="I13" s="15"/>
    </row>
    <row r="14" spans="1:9">
      <c r="A14" s="16"/>
      <c r="B14" s="15"/>
      <c r="C14" s="17">
        <v>12</v>
      </c>
      <c r="D14" s="15"/>
      <c r="E14" s="18"/>
      <c r="F14" s="18"/>
      <c r="G14" s="15">
        <f t="shared" si="0"/>
        <v>0</v>
      </c>
      <c r="H14" s="19" t="e">
        <f t="shared" si="1"/>
        <v>#DIV/0!</v>
      </c>
      <c r="I14" s="15"/>
    </row>
    <row r="15" spans="1:9">
      <c r="A15" s="16"/>
      <c r="B15" s="15"/>
      <c r="C15" s="17">
        <v>13</v>
      </c>
      <c r="D15" s="15"/>
      <c r="E15" s="18"/>
      <c r="F15" s="18"/>
      <c r="G15" s="15">
        <f t="shared" si="0"/>
        <v>0</v>
      </c>
      <c r="H15" s="19" t="e">
        <f t="shared" si="1"/>
        <v>#DIV/0!</v>
      </c>
      <c r="I15" s="15"/>
    </row>
    <row r="16" spans="1:9">
      <c r="A16" s="16"/>
      <c r="B16" s="15"/>
      <c r="C16" s="17">
        <v>14</v>
      </c>
      <c r="D16" s="15"/>
      <c r="E16" s="18"/>
      <c r="F16" s="18"/>
      <c r="G16" s="15">
        <f t="shared" si="0"/>
        <v>0</v>
      </c>
      <c r="H16" s="19" t="e">
        <f t="shared" si="1"/>
        <v>#DIV/0!</v>
      </c>
      <c r="I16" s="15"/>
    </row>
    <row r="17" spans="1:9">
      <c r="A17" s="16"/>
      <c r="B17" s="15"/>
      <c r="C17" s="17">
        <v>15</v>
      </c>
      <c r="D17" s="15"/>
      <c r="E17" s="18"/>
      <c r="F17" s="18"/>
      <c r="G17" s="15">
        <f t="shared" si="0"/>
        <v>0</v>
      </c>
      <c r="H17" s="19" t="e">
        <f t="shared" si="1"/>
        <v>#DIV/0!</v>
      </c>
      <c r="I17" s="15"/>
    </row>
    <row r="18" spans="1:9">
      <c r="A18" s="16"/>
      <c r="B18" s="15"/>
      <c r="C18" s="17">
        <v>16</v>
      </c>
      <c r="D18" s="15"/>
      <c r="E18" s="18"/>
      <c r="F18" s="18"/>
      <c r="G18" s="15">
        <f t="shared" si="0"/>
        <v>0</v>
      </c>
      <c r="H18" s="19" t="e">
        <f t="shared" si="1"/>
        <v>#DIV/0!</v>
      </c>
      <c r="I18" s="15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1109.23</v>
      </c>
    </row>
    <row r="25" spans="1:9">
      <c r="B25">
        <f>SUM(Juin!B25+Juil!D24)</f>
        <v>7997.99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B21" sqref="B21:B2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10" ht="27" thickBot="1">
      <c r="A1" s="36" t="s">
        <v>11</v>
      </c>
      <c r="B1" s="36"/>
      <c r="C1" s="36"/>
      <c r="D1" s="36"/>
      <c r="E1" s="36"/>
      <c r="F1" s="36"/>
      <c r="G1" s="36"/>
      <c r="H1" s="36"/>
      <c r="I1" s="36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10">
      <c r="A3" s="24">
        <v>42583</v>
      </c>
      <c r="B3" s="25" t="s">
        <v>126</v>
      </c>
      <c r="C3" s="25">
        <v>1</v>
      </c>
      <c r="D3" s="25">
        <v>56</v>
      </c>
      <c r="E3" s="26">
        <v>3</v>
      </c>
      <c r="F3" s="26">
        <v>50</v>
      </c>
      <c r="G3" s="25">
        <f>SUM(E3*60+F3)</f>
        <v>230</v>
      </c>
      <c r="H3" s="27">
        <f>SUM(D3/G3*60)</f>
        <v>14.608695652173914</v>
      </c>
      <c r="I3" s="25" t="s">
        <v>127</v>
      </c>
    </row>
    <row r="4" spans="1:10">
      <c r="A4" s="28">
        <v>42584</v>
      </c>
      <c r="B4" s="29" t="s">
        <v>129</v>
      </c>
      <c r="C4" s="25">
        <v>2</v>
      </c>
      <c r="D4" s="29">
        <v>51</v>
      </c>
      <c r="E4" s="30">
        <v>3</v>
      </c>
      <c r="F4" s="30">
        <v>30</v>
      </c>
      <c r="G4" s="29">
        <f t="shared" ref="G4:G24" si="0">SUM(E4*60+F4)</f>
        <v>210</v>
      </c>
      <c r="H4" s="31">
        <f t="shared" ref="H4:H24" si="1">SUM(D4/G4*60)</f>
        <v>14.571428571428571</v>
      </c>
      <c r="I4" s="25" t="s">
        <v>127</v>
      </c>
    </row>
    <row r="5" spans="1:10">
      <c r="A5" s="28">
        <v>42585</v>
      </c>
      <c r="B5" s="29" t="s">
        <v>130</v>
      </c>
      <c r="C5" s="25">
        <v>3</v>
      </c>
      <c r="D5" s="29">
        <v>52</v>
      </c>
      <c r="E5" s="30">
        <v>3</v>
      </c>
      <c r="F5" s="30">
        <v>38</v>
      </c>
      <c r="G5" s="29">
        <f t="shared" si="0"/>
        <v>218</v>
      </c>
      <c r="H5" s="31">
        <f t="shared" si="1"/>
        <v>14.311926605504588</v>
      </c>
      <c r="I5" s="25" t="s">
        <v>127</v>
      </c>
    </row>
    <row r="6" spans="1:10">
      <c r="A6" s="28">
        <v>42586</v>
      </c>
      <c r="B6" s="29" t="s">
        <v>131</v>
      </c>
      <c r="C6" s="25">
        <v>4</v>
      </c>
      <c r="D6" s="29">
        <v>60</v>
      </c>
      <c r="E6" s="30">
        <v>4</v>
      </c>
      <c r="F6" s="30">
        <v>14</v>
      </c>
      <c r="G6" s="29">
        <f t="shared" si="0"/>
        <v>254</v>
      </c>
      <c r="H6" s="31">
        <f t="shared" si="1"/>
        <v>14.173228346456693</v>
      </c>
      <c r="I6" s="25" t="s">
        <v>127</v>
      </c>
    </row>
    <row r="7" spans="1:10">
      <c r="A7" s="28">
        <v>42587</v>
      </c>
      <c r="B7" s="29" t="s">
        <v>132</v>
      </c>
      <c r="C7" s="25">
        <v>5</v>
      </c>
      <c r="D7" s="29">
        <v>57</v>
      </c>
      <c r="E7" s="30">
        <v>4</v>
      </c>
      <c r="F7" s="30">
        <v>9</v>
      </c>
      <c r="G7" s="29">
        <f t="shared" si="0"/>
        <v>249</v>
      </c>
      <c r="H7" s="31">
        <f t="shared" si="1"/>
        <v>13.734939759036143</v>
      </c>
      <c r="I7" s="25" t="s">
        <v>127</v>
      </c>
    </row>
    <row r="8" spans="1:10">
      <c r="A8" s="28">
        <v>42588</v>
      </c>
      <c r="B8" s="29" t="s">
        <v>133</v>
      </c>
      <c r="C8" s="25">
        <v>6</v>
      </c>
      <c r="D8" s="29">
        <v>52</v>
      </c>
      <c r="E8" s="30">
        <v>3</v>
      </c>
      <c r="F8" s="30">
        <v>50</v>
      </c>
      <c r="G8" s="29">
        <f t="shared" si="0"/>
        <v>230</v>
      </c>
      <c r="H8" s="31">
        <f t="shared" si="1"/>
        <v>13.565217391304348</v>
      </c>
      <c r="I8" s="25" t="s">
        <v>127</v>
      </c>
    </row>
    <row r="9" spans="1:10">
      <c r="A9" s="28">
        <v>42588</v>
      </c>
      <c r="B9" s="29" t="s">
        <v>138</v>
      </c>
      <c r="C9" s="25">
        <v>7</v>
      </c>
      <c r="D9" s="29">
        <v>6</v>
      </c>
      <c r="E9" s="30">
        <v>0</v>
      </c>
      <c r="F9" s="30">
        <v>21</v>
      </c>
      <c r="G9" s="29">
        <f t="shared" si="0"/>
        <v>21</v>
      </c>
      <c r="H9" s="31">
        <f t="shared" si="1"/>
        <v>17.142857142857142</v>
      </c>
      <c r="I9" s="25" t="s">
        <v>127</v>
      </c>
    </row>
    <row r="10" spans="1:10">
      <c r="A10" s="28">
        <v>42589</v>
      </c>
      <c r="B10" s="29" t="s">
        <v>134</v>
      </c>
      <c r="C10" s="25">
        <v>8</v>
      </c>
      <c r="D10" s="29">
        <v>26</v>
      </c>
      <c r="E10" s="30">
        <v>1</v>
      </c>
      <c r="F10" s="30">
        <v>45</v>
      </c>
      <c r="G10" s="29">
        <f t="shared" si="0"/>
        <v>105</v>
      </c>
      <c r="H10" s="31">
        <f t="shared" si="1"/>
        <v>14.857142857142858</v>
      </c>
      <c r="I10" s="25" t="s">
        <v>127</v>
      </c>
    </row>
    <row r="11" spans="1:10">
      <c r="A11" s="28">
        <v>42590</v>
      </c>
      <c r="B11" s="29" t="s">
        <v>135</v>
      </c>
      <c r="C11" s="25">
        <v>9</v>
      </c>
      <c r="D11" s="29">
        <v>51</v>
      </c>
      <c r="E11" s="30">
        <v>3</v>
      </c>
      <c r="F11" s="30">
        <v>16</v>
      </c>
      <c r="G11" s="29">
        <f t="shared" si="0"/>
        <v>196</v>
      </c>
      <c r="H11" s="31">
        <f t="shared" si="1"/>
        <v>15.612244897959185</v>
      </c>
      <c r="I11" s="25" t="s">
        <v>127</v>
      </c>
    </row>
    <row r="12" spans="1:10">
      <c r="A12" s="28">
        <v>42591</v>
      </c>
      <c r="B12" s="29" t="s">
        <v>136</v>
      </c>
      <c r="C12" s="25">
        <v>10</v>
      </c>
      <c r="D12" s="29">
        <v>60</v>
      </c>
      <c r="E12" s="30">
        <v>3</v>
      </c>
      <c r="F12" s="30">
        <v>48</v>
      </c>
      <c r="G12" s="29">
        <f t="shared" si="0"/>
        <v>228</v>
      </c>
      <c r="H12" s="31">
        <f t="shared" si="1"/>
        <v>15.789473684210526</v>
      </c>
      <c r="I12" s="25" t="s">
        <v>127</v>
      </c>
    </row>
    <row r="13" spans="1:10">
      <c r="A13" s="28">
        <v>42592</v>
      </c>
      <c r="B13" s="29" t="s">
        <v>137</v>
      </c>
      <c r="C13" s="25">
        <v>11</v>
      </c>
      <c r="D13" s="29">
        <v>48</v>
      </c>
      <c r="E13" s="30">
        <v>3</v>
      </c>
      <c r="F13" s="30">
        <v>1</v>
      </c>
      <c r="G13" s="29">
        <f t="shared" si="0"/>
        <v>181</v>
      </c>
      <c r="H13" s="31">
        <f t="shared" si="1"/>
        <v>15.91160220994475</v>
      </c>
      <c r="I13" s="25" t="s">
        <v>127</v>
      </c>
      <c r="J13" t="s">
        <v>139</v>
      </c>
    </row>
    <row r="14" spans="1:10">
      <c r="A14" s="16">
        <v>42593</v>
      </c>
      <c r="B14" s="15" t="s">
        <v>128</v>
      </c>
      <c r="C14" s="17">
        <v>12</v>
      </c>
      <c r="D14" s="15">
        <v>91</v>
      </c>
      <c r="E14" s="18">
        <v>3</v>
      </c>
      <c r="F14" s="18">
        <v>28</v>
      </c>
      <c r="G14" s="15">
        <f t="shared" si="0"/>
        <v>208</v>
      </c>
      <c r="H14" s="19">
        <f t="shared" si="1"/>
        <v>26.25</v>
      </c>
      <c r="I14" s="15"/>
    </row>
    <row r="15" spans="1:10">
      <c r="A15" s="16">
        <v>42594</v>
      </c>
      <c r="B15" s="15" t="s">
        <v>21</v>
      </c>
      <c r="C15" s="17">
        <v>13</v>
      </c>
      <c r="D15" s="15">
        <v>20</v>
      </c>
      <c r="E15" s="18">
        <v>0</v>
      </c>
      <c r="F15" s="18">
        <v>53</v>
      </c>
      <c r="G15" s="15">
        <f t="shared" si="0"/>
        <v>53</v>
      </c>
      <c r="H15" s="19">
        <f t="shared" si="1"/>
        <v>22.641509433962266</v>
      </c>
      <c r="I15" s="15"/>
    </row>
    <row r="16" spans="1:10">
      <c r="A16" s="16">
        <v>42595</v>
      </c>
      <c r="B16" s="15" t="s">
        <v>140</v>
      </c>
      <c r="C16" s="17">
        <v>14</v>
      </c>
      <c r="D16" s="15">
        <v>86.22</v>
      </c>
      <c r="E16" s="18">
        <v>3</v>
      </c>
      <c r="F16" s="18">
        <v>18</v>
      </c>
      <c r="G16" s="15">
        <f t="shared" si="0"/>
        <v>198</v>
      </c>
      <c r="H16" s="19">
        <f t="shared" si="1"/>
        <v>26.127272727272725</v>
      </c>
      <c r="I16" s="15"/>
    </row>
    <row r="17" spans="1:9">
      <c r="A17" s="16">
        <v>42598</v>
      </c>
      <c r="B17" s="15" t="s">
        <v>141</v>
      </c>
      <c r="C17" s="17">
        <v>15</v>
      </c>
      <c r="D17" s="15">
        <v>90</v>
      </c>
      <c r="E17" s="18">
        <v>3</v>
      </c>
      <c r="F17" s="18">
        <v>45</v>
      </c>
      <c r="G17" s="15">
        <f t="shared" si="0"/>
        <v>225</v>
      </c>
      <c r="H17" s="19">
        <f t="shared" si="1"/>
        <v>24</v>
      </c>
      <c r="I17" s="15"/>
    </row>
    <row r="18" spans="1:9">
      <c r="A18" s="16">
        <v>42600</v>
      </c>
      <c r="B18" s="15" t="s">
        <v>142</v>
      </c>
      <c r="C18" s="17">
        <v>16</v>
      </c>
      <c r="D18" s="15">
        <v>100.22</v>
      </c>
      <c r="E18" s="18">
        <v>3</v>
      </c>
      <c r="F18" s="18">
        <v>50</v>
      </c>
      <c r="G18" s="15">
        <f t="shared" si="0"/>
        <v>230</v>
      </c>
      <c r="H18" s="19">
        <f t="shared" si="1"/>
        <v>26.144347826086957</v>
      </c>
      <c r="I18" s="15"/>
    </row>
    <row r="19" spans="1:9">
      <c r="A19" s="5">
        <v>42602</v>
      </c>
      <c r="B19" s="3" t="s">
        <v>143</v>
      </c>
      <c r="C19" s="17">
        <v>17</v>
      </c>
      <c r="D19" s="3">
        <v>85.22</v>
      </c>
      <c r="E19" s="6">
        <v>3</v>
      </c>
      <c r="F19" s="6">
        <v>28</v>
      </c>
      <c r="G19" s="3">
        <f t="shared" si="0"/>
        <v>208</v>
      </c>
      <c r="H19" s="4">
        <f t="shared" si="1"/>
        <v>24.582692307692309</v>
      </c>
      <c r="I19" s="3"/>
    </row>
    <row r="20" spans="1:9">
      <c r="A20" s="5">
        <v>42607</v>
      </c>
      <c r="B20" s="3" t="s">
        <v>144</v>
      </c>
      <c r="C20" s="17">
        <v>18</v>
      </c>
      <c r="D20" s="3">
        <v>87</v>
      </c>
      <c r="E20" s="6">
        <v>3</v>
      </c>
      <c r="F20" s="6">
        <v>9</v>
      </c>
      <c r="G20" s="3">
        <f t="shared" si="0"/>
        <v>189</v>
      </c>
      <c r="H20" s="4">
        <f t="shared" si="1"/>
        <v>27.619047619047617</v>
      </c>
      <c r="I20" s="3"/>
    </row>
    <row r="21" spans="1:9">
      <c r="A21" s="5">
        <v>42609</v>
      </c>
      <c r="B21" s="33" t="s">
        <v>145</v>
      </c>
      <c r="C21" s="17">
        <v>19</v>
      </c>
      <c r="D21" s="3">
        <v>86</v>
      </c>
      <c r="E21" s="6">
        <v>3</v>
      </c>
      <c r="F21" s="6">
        <v>23</v>
      </c>
      <c r="G21" s="3">
        <f t="shared" si="0"/>
        <v>203</v>
      </c>
      <c r="H21" s="4">
        <f t="shared" si="1"/>
        <v>25.418719211822658</v>
      </c>
      <c r="I21" s="3"/>
    </row>
    <row r="22" spans="1:9">
      <c r="A22" s="5">
        <v>42612</v>
      </c>
      <c r="B22" s="33" t="s">
        <v>146</v>
      </c>
      <c r="C22" s="17">
        <v>20</v>
      </c>
      <c r="D22" s="3">
        <v>92</v>
      </c>
      <c r="E22" s="6">
        <v>3</v>
      </c>
      <c r="F22" s="6">
        <v>39</v>
      </c>
      <c r="G22" s="3">
        <f t="shared" si="0"/>
        <v>219</v>
      </c>
      <c r="H22" s="4">
        <f t="shared" si="1"/>
        <v>25.205479452054792</v>
      </c>
      <c r="I22" s="3"/>
    </row>
    <row r="23" spans="1:9">
      <c r="A23" s="5"/>
      <c r="B23" s="3"/>
      <c r="C23" s="17">
        <v>21</v>
      </c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A24" s="5"/>
      <c r="B24" s="3"/>
      <c r="C24" s="3"/>
      <c r="D24" s="3"/>
      <c r="E24" s="6"/>
      <c r="F24" s="6"/>
      <c r="G24" s="3">
        <f t="shared" si="0"/>
        <v>0</v>
      </c>
      <c r="H24" s="4" t="e">
        <f t="shared" si="1"/>
        <v>#DIV/0!</v>
      </c>
      <c r="I24" s="3"/>
    </row>
    <row r="25" spans="1:9">
      <c r="D25">
        <f>SUM(D3:D24)</f>
        <v>1256.6600000000001</v>
      </c>
    </row>
    <row r="26" spans="1:9">
      <c r="B26">
        <f>SUM(Juil!B25+Aout!D25)</f>
        <v>9254.65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I14" sqref="I14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11" ht="27" thickBot="1">
      <c r="A1" s="36" t="s">
        <v>10</v>
      </c>
      <c r="B1" s="36"/>
      <c r="C1" s="36"/>
      <c r="D1" s="36"/>
      <c r="E1" s="36"/>
      <c r="F1" s="36"/>
      <c r="G1" s="36"/>
      <c r="H1" s="36"/>
      <c r="I1" s="36"/>
    </row>
    <row r="2" spans="1:11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11">
      <c r="A3" s="20">
        <v>42614</v>
      </c>
      <c r="B3" s="33" t="s">
        <v>147</v>
      </c>
      <c r="C3" s="17">
        <v>1</v>
      </c>
      <c r="D3" s="17">
        <v>92</v>
      </c>
      <c r="E3" s="21">
        <v>3</v>
      </c>
      <c r="F3" s="21">
        <v>42</v>
      </c>
      <c r="G3" s="17">
        <f>SUM(E3*60+F3)</f>
        <v>222</v>
      </c>
      <c r="H3" s="22">
        <f>SUM(D3/G3*60)</f>
        <v>24.864864864864863</v>
      </c>
      <c r="I3" s="17"/>
    </row>
    <row r="4" spans="1:11">
      <c r="A4" s="16">
        <v>42616</v>
      </c>
      <c r="B4" s="33" t="s">
        <v>148</v>
      </c>
      <c r="C4" s="17">
        <v>2</v>
      </c>
      <c r="D4" s="15">
        <v>74</v>
      </c>
      <c r="E4" s="18">
        <v>2</v>
      </c>
      <c r="F4" s="18">
        <v>56</v>
      </c>
      <c r="G4" s="15">
        <f t="shared" ref="G4:G23" si="0">SUM(E4*60+F4)</f>
        <v>176</v>
      </c>
      <c r="H4" s="19">
        <f t="shared" ref="H4:H23" si="1">SUM(D4/G4*60)</f>
        <v>25.227272727272727</v>
      </c>
      <c r="I4" s="15"/>
    </row>
    <row r="5" spans="1:11">
      <c r="A5" s="28">
        <v>42620</v>
      </c>
      <c r="B5" s="34" t="s">
        <v>149</v>
      </c>
      <c r="C5" s="25">
        <v>3</v>
      </c>
      <c r="D5" s="29">
        <v>32</v>
      </c>
      <c r="E5" s="30">
        <v>1</v>
      </c>
      <c r="F5" s="30">
        <v>36</v>
      </c>
      <c r="G5" s="29">
        <f t="shared" si="0"/>
        <v>96</v>
      </c>
      <c r="H5" s="31">
        <f t="shared" si="1"/>
        <v>20</v>
      </c>
      <c r="I5" s="29" t="s">
        <v>150</v>
      </c>
    </row>
    <row r="6" spans="1:11">
      <c r="A6" s="28">
        <v>42621</v>
      </c>
      <c r="B6" s="34" t="s">
        <v>151</v>
      </c>
      <c r="C6" s="25">
        <v>2</v>
      </c>
      <c r="D6" s="29">
        <v>57</v>
      </c>
      <c r="E6" s="30">
        <v>3</v>
      </c>
      <c r="F6" s="30">
        <v>24</v>
      </c>
      <c r="G6" s="29">
        <f t="shared" ref="G6" si="2">SUM(E6*60+F6)</f>
        <v>204</v>
      </c>
      <c r="H6" s="31">
        <f t="shared" ref="H6" si="3">SUM(D6/G6*60)</f>
        <v>16.764705882352942</v>
      </c>
      <c r="I6" s="29" t="s">
        <v>150</v>
      </c>
    </row>
    <row r="7" spans="1:11">
      <c r="A7" s="28">
        <v>42622</v>
      </c>
      <c r="B7" s="34" t="s">
        <v>152</v>
      </c>
      <c r="C7" s="25">
        <v>5</v>
      </c>
      <c r="D7" s="29">
        <v>13.5</v>
      </c>
      <c r="E7" s="30">
        <v>0</v>
      </c>
      <c r="F7" s="30">
        <v>36</v>
      </c>
      <c r="G7" s="29">
        <f t="shared" si="0"/>
        <v>36</v>
      </c>
      <c r="H7" s="31">
        <f t="shared" si="1"/>
        <v>22.5</v>
      </c>
      <c r="I7" s="29" t="s">
        <v>150</v>
      </c>
    </row>
    <row r="8" spans="1:11">
      <c r="A8" s="28">
        <v>42623</v>
      </c>
      <c r="B8" s="34" t="s">
        <v>153</v>
      </c>
      <c r="C8" s="25">
        <v>6</v>
      </c>
      <c r="D8" s="29">
        <v>74</v>
      </c>
      <c r="E8" s="30">
        <v>3</v>
      </c>
      <c r="F8" s="30">
        <v>58</v>
      </c>
      <c r="G8" s="29">
        <f t="shared" si="0"/>
        <v>238</v>
      </c>
      <c r="H8" s="31">
        <f t="shared" si="1"/>
        <v>18.655462184873951</v>
      </c>
      <c r="I8" s="29" t="s">
        <v>150</v>
      </c>
      <c r="K8" s="32"/>
    </row>
    <row r="9" spans="1:11">
      <c r="A9" s="28">
        <v>42624</v>
      </c>
      <c r="B9" s="34" t="s">
        <v>154</v>
      </c>
      <c r="C9" s="25">
        <v>7</v>
      </c>
      <c r="D9" s="29">
        <v>41.5</v>
      </c>
      <c r="E9" s="30">
        <v>2</v>
      </c>
      <c r="F9" s="30">
        <v>27</v>
      </c>
      <c r="G9" s="29">
        <f t="shared" si="0"/>
        <v>147</v>
      </c>
      <c r="H9" s="31">
        <f t="shared" si="1"/>
        <v>16.938775510204081</v>
      </c>
      <c r="I9" s="29" t="s">
        <v>150</v>
      </c>
    </row>
    <row r="10" spans="1:11">
      <c r="A10" s="28">
        <v>42628</v>
      </c>
      <c r="B10" s="34" t="s">
        <v>155</v>
      </c>
      <c r="C10" s="25">
        <v>8</v>
      </c>
      <c r="D10" s="29">
        <v>42</v>
      </c>
      <c r="E10" s="30">
        <v>2</v>
      </c>
      <c r="F10" s="30">
        <v>10</v>
      </c>
      <c r="G10" s="29">
        <f t="shared" si="0"/>
        <v>130</v>
      </c>
      <c r="H10" s="31">
        <f t="shared" si="1"/>
        <v>19.384615384615387</v>
      </c>
      <c r="I10" s="29" t="s">
        <v>150</v>
      </c>
    </row>
    <row r="11" spans="1:11">
      <c r="A11" s="28">
        <v>42629</v>
      </c>
      <c r="B11" s="34" t="s">
        <v>156</v>
      </c>
      <c r="C11" s="25">
        <v>9</v>
      </c>
      <c r="D11" s="29">
        <v>55</v>
      </c>
      <c r="E11" s="30">
        <v>3</v>
      </c>
      <c r="F11" s="30">
        <v>55</v>
      </c>
      <c r="G11" s="29">
        <f t="shared" si="0"/>
        <v>235</v>
      </c>
      <c r="H11" s="31">
        <f t="shared" si="1"/>
        <v>14.042553191489361</v>
      </c>
      <c r="I11" s="29" t="s">
        <v>150</v>
      </c>
    </row>
    <row r="12" spans="1:11">
      <c r="A12" s="5">
        <v>42631</v>
      </c>
      <c r="B12" s="33" t="s">
        <v>163</v>
      </c>
      <c r="C12" s="8">
        <v>10</v>
      </c>
      <c r="D12" s="3">
        <v>52</v>
      </c>
      <c r="E12" s="6">
        <v>2</v>
      </c>
      <c r="F12" s="6">
        <v>24</v>
      </c>
      <c r="G12" s="3">
        <f t="shared" si="0"/>
        <v>144</v>
      </c>
      <c r="H12" s="4">
        <f t="shared" si="1"/>
        <v>21.666666666666668</v>
      </c>
      <c r="I12" s="3" t="s">
        <v>160</v>
      </c>
      <c r="J12" s="32"/>
    </row>
    <row r="13" spans="1:11">
      <c r="A13" s="5">
        <v>42633</v>
      </c>
      <c r="B13" s="3" t="s">
        <v>157</v>
      </c>
      <c r="C13" s="8">
        <v>11</v>
      </c>
      <c r="D13" s="3">
        <v>99</v>
      </c>
      <c r="E13" s="6">
        <v>4</v>
      </c>
      <c r="F13" s="6">
        <v>2</v>
      </c>
      <c r="G13" s="3">
        <f t="shared" si="0"/>
        <v>242</v>
      </c>
      <c r="H13" s="4">
        <f t="shared" si="1"/>
        <v>24.545454545454547</v>
      </c>
      <c r="I13" s="3"/>
    </row>
    <row r="14" spans="1:11">
      <c r="A14" s="5">
        <v>42633</v>
      </c>
      <c r="B14" s="3" t="s">
        <v>158</v>
      </c>
      <c r="C14" s="8">
        <v>12</v>
      </c>
      <c r="D14" s="3">
        <v>19</v>
      </c>
      <c r="E14" s="6">
        <v>0</v>
      </c>
      <c r="F14" s="6">
        <v>50</v>
      </c>
      <c r="G14" s="3">
        <f t="shared" si="0"/>
        <v>50</v>
      </c>
      <c r="H14" s="4">
        <f t="shared" si="1"/>
        <v>22.8</v>
      </c>
      <c r="I14" s="3" t="s">
        <v>160</v>
      </c>
    </row>
    <row r="15" spans="1:11">
      <c r="A15" s="5">
        <v>42634</v>
      </c>
      <c r="B15" s="3" t="s">
        <v>159</v>
      </c>
      <c r="C15" s="8">
        <v>13</v>
      </c>
      <c r="D15" s="3">
        <v>59</v>
      </c>
      <c r="E15" s="6">
        <v>2</v>
      </c>
      <c r="F15" s="6">
        <v>56</v>
      </c>
      <c r="G15" s="3">
        <f t="shared" si="0"/>
        <v>176</v>
      </c>
      <c r="H15" s="4">
        <f t="shared" si="1"/>
        <v>20.113636363636363</v>
      </c>
      <c r="I15" s="3" t="s">
        <v>160</v>
      </c>
    </row>
    <row r="16" spans="1:11">
      <c r="A16" s="5">
        <v>42637</v>
      </c>
      <c r="B16" s="3" t="s">
        <v>161</v>
      </c>
      <c r="C16" s="8">
        <v>14</v>
      </c>
      <c r="D16" s="3">
        <v>81</v>
      </c>
      <c r="E16" s="6">
        <v>3</v>
      </c>
      <c r="F16" s="6">
        <v>10</v>
      </c>
      <c r="G16" s="3">
        <f t="shared" si="0"/>
        <v>190</v>
      </c>
      <c r="H16" s="4">
        <f t="shared" si="1"/>
        <v>25.578947368421051</v>
      </c>
      <c r="I16" s="3"/>
    </row>
    <row r="17" spans="1:9">
      <c r="A17" s="5">
        <v>42639</v>
      </c>
      <c r="B17" s="3" t="s">
        <v>162</v>
      </c>
      <c r="C17" s="8">
        <v>15</v>
      </c>
      <c r="D17" s="3">
        <v>57</v>
      </c>
      <c r="E17" s="6">
        <v>2</v>
      </c>
      <c r="F17" s="6">
        <v>41</v>
      </c>
      <c r="G17" s="3">
        <f t="shared" si="0"/>
        <v>161</v>
      </c>
      <c r="H17" s="4">
        <f t="shared" si="1"/>
        <v>21.242236024844722</v>
      </c>
      <c r="I17" s="3" t="s">
        <v>160</v>
      </c>
    </row>
    <row r="18" spans="1:9">
      <c r="A18" s="5">
        <v>42640</v>
      </c>
      <c r="B18" s="3" t="s">
        <v>164</v>
      </c>
      <c r="C18" s="8">
        <v>16</v>
      </c>
      <c r="D18" s="3">
        <v>101</v>
      </c>
      <c r="E18" s="6">
        <v>4</v>
      </c>
      <c r="F18" s="6">
        <v>11</v>
      </c>
      <c r="G18" s="3">
        <f t="shared" si="0"/>
        <v>251</v>
      </c>
      <c r="H18" s="4">
        <f t="shared" si="1"/>
        <v>24.143426294820717</v>
      </c>
      <c r="I18" s="3"/>
    </row>
    <row r="19" spans="1:9">
      <c r="A19" s="5">
        <v>42642</v>
      </c>
      <c r="B19" s="3" t="s">
        <v>165</v>
      </c>
      <c r="C19" s="8">
        <v>17</v>
      </c>
      <c r="D19" s="3">
        <v>106</v>
      </c>
      <c r="E19" s="6">
        <v>4</v>
      </c>
      <c r="F19" s="6">
        <v>12</v>
      </c>
      <c r="G19" s="3">
        <f t="shared" si="0"/>
        <v>252</v>
      </c>
      <c r="H19" s="4">
        <f t="shared" si="1"/>
        <v>25.238095238095237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1055</v>
      </c>
    </row>
    <row r="25" spans="1:9">
      <c r="B25">
        <f>SUM(Aout!B26+Sept!D24)</f>
        <v>10309.65</v>
      </c>
    </row>
  </sheetData>
  <mergeCells count="2">
    <mergeCell ref="A1:I1"/>
    <mergeCell ref="E2:G2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D17" sqref="D1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9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20">
        <v>42644</v>
      </c>
      <c r="B3" s="17" t="s">
        <v>166</v>
      </c>
      <c r="C3" s="17">
        <v>1</v>
      </c>
      <c r="D3" s="17">
        <v>92</v>
      </c>
      <c r="E3" s="21">
        <v>3</v>
      </c>
      <c r="F3" s="21">
        <v>45</v>
      </c>
      <c r="G3" s="17">
        <f>SUM(E3*60+F3)</f>
        <v>225</v>
      </c>
      <c r="H3" s="22">
        <f>SUM(D3/G3*60)</f>
        <v>24.533333333333335</v>
      </c>
      <c r="I3" s="17"/>
    </row>
    <row r="4" spans="1:9">
      <c r="A4" s="16">
        <v>42646</v>
      </c>
      <c r="B4" s="15" t="s">
        <v>168</v>
      </c>
      <c r="C4" s="17">
        <v>2</v>
      </c>
      <c r="D4" s="15">
        <v>39.979999999999997</v>
      </c>
      <c r="E4" s="18">
        <v>1</v>
      </c>
      <c r="F4" s="18">
        <v>56</v>
      </c>
      <c r="G4" s="15">
        <f t="shared" ref="G4:G23" si="0">SUM(E4*60+F4)</f>
        <v>116</v>
      </c>
      <c r="H4" s="19">
        <f t="shared" ref="H4:H23" si="1">SUM(D4/G4*60)</f>
        <v>20.679310344827584</v>
      </c>
      <c r="I4" s="3" t="s">
        <v>160</v>
      </c>
    </row>
    <row r="5" spans="1:9">
      <c r="A5" s="16">
        <v>42647</v>
      </c>
      <c r="B5" s="15" t="s">
        <v>167</v>
      </c>
      <c r="C5" s="17">
        <v>3</v>
      </c>
      <c r="D5" s="15">
        <v>97.5</v>
      </c>
      <c r="E5" s="18">
        <v>3</v>
      </c>
      <c r="F5" s="18">
        <v>47</v>
      </c>
      <c r="G5" s="15">
        <f t="shared" si="0"/>
        <v>227</v>
      </c>
      <c r="H5" s="19">
        <f t="shared" si="1"/>
        <v>25.770925110132158</v>
      </c>
      <c r="I5" s="15"/>
    </row>
    <row r="6" spans="1:9">
      <c r="A6" s="16">
        <v>42649</v>
      </c>
      <c r="B6" s="15" t="s">
        <v>167</v>
      </c>
      <c r="C6" s="17">
        <v>4</v>
      </c>
      <c r="D6" s="15">
        <v>96</v>
      </c>
      <c r="E6" s="18">
        <v>3</v>
      </c>
      <c r="F6" s="18">
        <v>54</v>
      </c>
      <c r="G6" s="15">
        <f t="shared" si="0"/>
        <v>234</v>
      </c>
      <c r="H6" s="19">
        <f t="shared" si="1"/>
        <v>24.615384615384613</v>
      </c>
      <c r="I6" s="15"/>
    </row>
    <row r="7" spans="1:9">
      <c r="A7" s="16">
        <v>42651</v>
      </c>
      <c r="B7" s="15" t="s">
        <v>169</v>
      </c>
      <c r="C7" s="17">
        <v>5</v>
      </c>
      <c r="D7" s="15">
        <v>81</v>
      </c>
      <c r="E7" s="18">
        <v>3</v>
      </c>
      <c r="F7" s="18">
        <v>16</v>
      </c>
      <c r="G7" s="15">
        <f t="shared" si="0"/>
        <v>196</v>
      </c>
      <c r="H7" s="19">
        <f t="shared" si="1"/>
        <v>24.795918367346939</v>
      </c>
      <c r="I7" s="15"/>
    </row>
    <row r="8" spans="1:9">
      <c r="A8" s="16">
        <v>42684</v>
      </c>
      <c r="B8" s="15" t="s">
        <v>171</v>
      </c>
      <c r="C8" s="17">
        <v>6</v>
      </c>
      <c r="D8" s="15">
        <v>27</v>
      </c>
      <c r="E8" s="18">
        <v>1</v>
      </c>
      <c r="F8" s="18">
        <v>25</v>
      </c>
      <c r="G8" s="15">
        <f t="shared" si="0"/>
        <v>85</v>
      </c>
      <c r="H8" s="19">
        <f t="shared" si="1"/>
        <v>19.058823529411764</v>
      </c>
      <c r="I8" s="3" t="s">
        <v>160</v>
      </c>
    </row>
    <row r="9" spans="1:9">
      <c r="A9" s="16">
        <v>42654</v>
      </c>
      <c r="B9" s="15" t="s">
        <v>170</v>
      </c>
      <c r="C9" s="17">
        <v>7</v>
      </c>
      <c r="D9" s="15">
        <v>93</v>
      </c>
      <c r="E9" s="18">
        <v>3</v>
      </c>
      <c r="F9" s="18">
        <v>56</v>
      </c>
      <c r="G9" s="15">
        <f t="shared" si="0"/>
        <v>236</v>
      </c>
      <c r="H9" s="19">
        <f t="shared" si="1"/>
        <v>23.64406779661017</v>
      </c>
      <c r="I9" s="15"/>
    </row>
    <row r="10" spans="1:9">
      <c r="A10" s="16">
        <v>42658</v>
      </c>
      <c r="B10" s="15" t="s">
        <v>172</v>
      </c>
      <c r="C10" s="17">
        <v>8</v>
      </c>
      <c r="D10" s="15">
        <v>78.5</v>
      </c>
      <c r="E10" s="18">
        <v>3</v>
      </c>
      <c r="F10" s="18">
        <v>0</v>
      </c>
      <c r="G10" s="15">
        <f t="shared" si="0"/>
        <v>180</v>
      </c>
      <c r="H10" s="19">
        <f t="shared" si="1"/>
        <v>26.166666666666668</v>
      </c>
      <c r="I10" s="15"/>
    </row>
    <row r="11" spans="1:9">
      <c r="A11" s="5">
        <v>42659</v>
      </c>
      <c r="B11" s="3" t="s">
        <v>173</v>
      </c>
      <c r="C11" s="8">
        <v>9</v>
      </c>
      <c r="D11" s="3">
        <v>58.5</v>
      </c>
      <c r="E11" s="6">
        <v>2</v>
      </c>
      <c r="F11" s="6">
        <v>42</v>
      </c>
      <c r="G11" s="3">
        <f t="shared" si="0"/>
        <v>162</v>
      </c>
      <c r="H11" s="4">
        <f t="shared" si="1"/>
        <v>21.666666666666668</v>
      </c>
      <c r="I11" s="3" t="s">
        <v>160</v>
      </c>
    </row>
    <row r="12" spans="1:9">
      <c r="A12" s="5">
        <v>42661</v>
      </c>
      <c r="B12" s="3" t="s">
        <v>174</v>
      </c>
      <c r="C12" s="8">
        <v>10</v>
      </c>
      <c r="D12" s="3">
        <v>89</v>
      </c>
      <c r="E12" s="6">
        <v>3</v>
      </c>
      <c r="F12" s="6">
        <v>36</v>
      </c>
      <c r="G12" s="3">
        <f t="shared" si="0"/>
        <v>216</v>
      </c>
      <c r="H12" s="4">
        <f t="shared" si="1"/>
        <v>24.722222222222221</v>
      </c>
      <c r="I12" s="3"/>
    </row>
    <row r="13" spans="1:9">
      <c r="A13" s="5">
        <v>42663</v>
      </c>
      <c r="B13" s="3" t="s">
        <v>175</v>
      </c>
      <c r="C13" s="8">
        <v>11</v>
      </c>
      <c r="D13" s="3">
        <v>95</v>
      </c>
      <c r="E13" s="6">
        <v>3</v>
      </c>
      <c r="F13" s="6">
        <v>56</v>
      </c>
      <c r="G13" s="3">
        <f t="shared" si="0"/>
        <v>236</v>
      </c>
      <c r="H13" s="4">
        <f t="shared" si="1"/>
        <v>24.152542372881356</v>
      </c>
      <c r="I13" s="3"/>
    </row>
    <row r="14" spans="1:9">
      <c r="A14" s="5">
        <v>42665</v>
      </c>
      <c r="B14" s="3" t="s">
        <v>176</v>
      </c>
      <c r="C14" s="8">
        <v>12</v>
      </c>
      <c r="D14" s="3">
        <v>72</v>
      </c>
      <c r="E14" s="6">
        <v>2</v>
      </c>
      <c r="F14" s="6">
        <v>47</v>
      </c>
      <c r="G14" s="3">
        <f t="shared" si="0"/>
        <v>167</v>
      </c>
      <c r="H14" s="4">
        <f t="shared" si="1"/>
        <v>25.868263473053894</v>
      </c>
      <c r="I14" s="3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919.48</v>
      </c>
    </row>
    <row r="25" spans="1:9">
      <c r="B25">
        <f>SUM(Sept!B25+Oct!D24)</f>
        <v>11229.13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G16" sqref="G1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8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20">
        <v>42675</v>
      </c>
      <c r="B3" s="17" t="s">
        <v>177</v>
      </c>
      <c r="C3" s="17">
        <v>1</v>
      </c>
      <c r="D3" s="17">
        <v>74.41</v>
      </c>
      <c r="E3" s="21">
        <v>2</v>
      </c>
      <c r="F3" s="21">
        <v>54</v>
      </c>
      <c r="G3" s="17">
        <f>SUM(E3*60+F3)</f>
        <v>174</v>
      </c>
      <c r="H3" s="22">
        <f>SUM(D3/G3*60)</f>
        <v>25.658620689655173</v>
      </c>
      <c r="I3" s="15" t="s">
        <v>20</v>
      </c>
    </row>
    <row r="4" spans="1:9">
      <c r="A4" s="16">
        <v>42677</v>
      </c>
      <c r="B4" s="15" t="s">
        <v>179</v>
      </c>
      <c r="C4" s="17">
        <v>2</v>
      </c>
      <c r="D4" s="15">
        <v>91.54</v>
      </c>
      <c r="E4" s="18">
        <v>3</v>
      </c>
      <c r="F4" s="18">
        <v>34</v>
      </c>
      <c r="G4" s="15">
        <f t="shared" ref="G4:G23" si="0">SUM(E4*60+F4)</f>
        <v>214</v>
      </c>
      <c r="H4" s="19">
        <f t="shared" ref="H4:H23" si="1">SUM(D4/G4*60)</f>
        <v>25.665420560747666</v>
      </c>
      <c r="I4" s="15"/>
    </row>
    <row r="5" spans="1:9">
      <c r="A5" s="16">
        <v>42680</v>
      </c>
      <c r="B5" s="15" t="s">
        <v>180</v>
      </c>
      <c r="C5" s="17">
        <v>3</v>
      </c>
      <c r="D5" s="15">
        <v>40.799999999999997</v>
      </c>
      <c r="E5" s="18">
        <v>2</v>
      </c>
      <c r="F5" s="18">
        <v>5</v>
      </c>
      <c r="G5" s="15">
        <f t="shared" si="0"/>
        <v>125</v>
      </c>
      <c r="H5" s="19">
        <f t="shared" si="1"/>
        <v>19.584</v>
      </c>
      <c r="I5" s="15" t="s">
        <v>181</v>
      </c>
    </row>
    <row r="6" spans="1:9">
      <c r="A6" s="16">
        <v>42682</v>
      </c>
      <c r="B6" s="15" t="s">
        <v>178</v>
      </c>
      <c r="C6" s="17">
        <v>4</v>
      </c>
      <c r="D6" s="15">
        <v>90.31</v>
      </c>
      <c r="E6" s="18">
        <v>3</v>
      </c>
      <c r="F6" s="18">
        <v>37</v>
      </c>
      <c r="G6" s="15">
        <f t="shared" si="0"/>
        <v>217</v>
      </c>
      <c r="H6" s="19">
        <f t="shared" si="1"/>
        <v>24.970506912442396</v>
      </c>
      <c r="I6" s="15"/>
    </row>
    <row r="7" spans="1:9">
      <c r="A7" s="16">
        <v>42684</v>
      </c>
      <c r="B7" s="15" t="s">
        <v>182</v>
      </c>
      <c r="C7" s="17">
        <v>5</v>
      </c>
      <c r="D7" s="15">
        <v>84.31</v>
      </c>
      <c r="E7" s="18">
        <v>3</v>
      </c>
      <c r="F7" s="18">
        <v>20</v>
      </c>
      <c r="G7" s="15">
        <f t="shared" si="0"/>
        <v>200</v>
      </c>
      <c r="H7" s="19">
        <f t="shared" si="1"/>
        <v>25.293000000000003</v>
      </c>
      <c r="I7" s="15"/>
    </row>
    <row r="8" spans="1:9">
      <c r="A8" s="16">
        <v>42685</v>
      </c>
      <c r="B8" s="15" t="s">
        <v>183</v>
      </c>
      <c r="C8" s="17">
        <v>6</v>
      </c>
      <c r="D8" s="15">
        <v>38.409999999999997</v>
      </c>
      <c r="E8" s="18">
        <v>2</v>
      </c>
      <c r="F8" s="18">
        <v>0</v>
      </c>
      <c r="G8" s="15">
        <f t="shared" si="0"/>
        <v>120</v>
      </c>
      <c r="H8" s="19">
        <f t="shared" si="1"/>
        <v>19.204999999999998</v>
      </c>
      <c r="I8" s="15" t="s">
        <v>181</v>
      </c>
    </row>
    <row r="9" spans="1:9">
      <c r="A9" s="16">
        <v>42686</v>
      </c>
      <c r="B9" s="15" t="s">
        <v>184</v>
      </c>
      <c r="C9" s="17">
        <v>7</v>
      </c>
      <c r="D9" s="15">
        <v>74.3</v>
      </c>
      <c r="E9" s="18">
        <v>2</v>
      </c>
      <c r="F9" s="18">
        <v>51</v>
      </c>
      <c r="G9" s="15">
        <f t="shared" si="0"/>
        <v>171</v>
      </c>
      <c r="H9" s="19">
        <f t="shared" si="1"/>
        <v>26.07017543859649</v>
      </c>
      <c r="I9" s="15"/>
    </row>
    <row r="10" spans="1:9">
      <c r="A10" s="16">
        <v>42687</v>
      </c>
      <c r="B10" s="15" t="s">
        <v>185</v>
      </c>
      <c r="C10" s="17">
        <v>8</v>
      </c>
      <c r="D10" s="15">
        <v>25.34</v>
      </c>
      <c r="E10" s="18">
        <v>1</v>
      </c>
      <c r="F10" s="18">
        <v>12</v>
      </c>
      <c r="G10" s="15">
        <f t="shared" si="0"/>
        <v>72</v>
      </c>
      <c r="H10" s="19">
        <f t="shared" si="1"/>
        <v>21.116666666666667</v>
      </c>
      <c r="I10" s="15" t="s">
        <v>181</v>
      </c>
    </row>
    <row r="11" spans="1:9">
      <c r="A11" s="16">
        <v>42689</v>
      </c>
      <c r="B11" s="15" t="s">
        <v>186</v>
      </c>
      <c r="C11" s="17">
        <v>9</v>
      </c>
      <c r="D11" s="15">
        <v>88.88</v>
      </c>
      <c r="E11" s="18">
        <v>3</v>
      </c>
      <c r="F11" s="18">
        <v>18</v>
      </c>
      <c r="G11" s="15">
        <f t="shared" si="0"/>
        <v>198</v>
      </c>
      <c r="H11" s="19">
        <f t="shared" si="1"/>
        <v>26.933333333333334</v>
      </c>
      <c r="I11" s="15"/>
    </row>
    <row r="12" spans="1:9">
      <c r="A12" s="16">
        <v>42693</v>
      </c>
      <c r="B12" s="15" t="s">
        <v>187</v>
      </c>
      <c r="C12" s="17">
        <v>10</v>
      </c>
      <c r="D12" s="15">
        <v>74.739999999999995</v>
      </c>
      <c r="E12" s="18">
        <v>3</v>
      </c>
      <c r="F12" s="18">
        <v>15</v>
      </c>
      <c r="G12" s="15">
        <f t="shared" si="0"/>
        <v>195</v>
      </c>
      <c r="H12" s="19">
        <f t="shared" si="1"/>
        <v>22.996923076923075</v>
      </c>
      <c r="I12" s="15"/>
    </row>
    <row r="13" spans="1:9">
      <c r="A13" s="16">
        <v>42696</v>
      </c>
      <c r="B13" s="15" t="s">
        <v>188</v>
      </c>
      <c r="C13" s="17">
        <v>11</v>
      </c>
      <c r="D13" s="15">
        <v>84.07</v>
      </c>
      <c r="E13" s="18">
        <v>3</v>
      </c>
      <c r="F13" s="18">
        <v>24</v>
      </c>
      <c r="G13" s="15">
        <f t="shared" si="0"/>
        <v>204</v>
      </c>
      <c r="H13" s="19">
        <f t="shared" si="1"/>
        <v>24.726470588235291</v>
      </c>
      <c r="I13" s="15"/>
    </row>
    <row r="14" spans="1:9">
      <c r="A14" s="16">
        <v>42700</v>
      </c>
      <c r="B14" s="15" t="s">
        <v>189</v>
      </c>
      <c r="C14" s="17">
        <v>12</v>
      </c>
      <c r="D14" s="15">
        <v>75.14</v>
      </c>
      <c r="E14" s="18">
        <v>3</v>
      </c>
      <c r="F14" s="18">
        <v>6</v>
      </c>
      <c r="G14" s="15">
        <f t="shared" si="0"/>
        <v>186</v>
      </c>
      <c r="H14" s="19">
        <f t="shared" si="1"/>
        <v>24.238709677419354</v>
      </c>
      <c r="I14" s="15"/>
    </row>
    <row r="15" spans="1:9">
      <c r="A15" s="5">
        <v>42700</v>
      </c>
      <c r="B15" s="3" t="s">
        <v>190</v>
      </c>
      <c r="C15" s="8">
        <v>13</v>
      </c>
      <c r="D15" s="3">
        <v>20.75</v>
      </c>
      <c r="E15" s="6">
        <v>1</v>
      </c>
      <c r="F15" s="6">
        <v>2</v>
      </c>
      <c r="G15" s="3">
        <f t="shared" si="0"/>
        <v>62</v>
      </c>
      <c r="H15" s="4">
        <f t="shared" si="1"/>
        <v>20.08064516129032</v>
      </c>
      <c r="I15" s="15" t="s">
        <v>181</v>
      </c>
    </row>
    <row r="16" spans="1:9">
      <c r="A16" s="5">
        <v>42703</v>
      </c>
      <c r="B16" s="3" t="s">
        <v>191</v>
      </c>
      <c r="C16" s="8">
        <v>14</v>
      </c>
      <c r="D16" s="3">
        <v>93.44</v>
      </c>
      <c r="E16" s="6">
        <v>3</v>
      </c>
      <c r="F16" s="6">
        <v>53</v>
      </c>
      <c r="G16" s="3">
        <f t="shared" si="0"/>
        <v>233</v>
      </c>
      <c r="H16" s="4">
        <f t="shared" si="1"/>
        <v>24.061802575107293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956.43999999999983</v>
      </c>
    </row>
    <row r="25" spans="1:9">
      <c r="B25">
        <f>SUM(Oct!B25+Nov!D24)</f>
        <v>12185.57</v>
      </c>
    </row>
  </sheetData>
  <mergeCells count="2">
    <mergeCell ref="A1:I1"/>
    <mergeCell ref="E2:G2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15" sqref="B15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6" t="s">
        <v>7</v>
      </c>
      <c r="B1" s="36"/>
      <c r="C1" s="36"/>
      <c r="D1" s="36"/>
      <c r="E1" s="36"/>
      <c r="F1" s="36"/>
      <c r="G1" s="36"/>
      <c r="H1" s="36"/>
      <c r="I1" s="36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5" t="s">
        <v>3</v>
      </c>
      <c r="F2" s="35"/>
      <c r="G2" s="35"/>
      <c r="H2" s="13" t="s">
        <v>4</v>
      </c>
      <c r="I2" s="14" t="s">
        <v>5</v>
      </c>
    </row>
    <row r="3" spans="1:9">
      <c r="A3" s="7">
        <v>42705</v>
      </c>
      <c r="B3" s="8" t="s">
        <v>192</v>
      </c>
      <c r="C3" s="8">
        <v>1</v>
      </c>
      <c r="D3" s="8">
        <v>100.53</v>
      </c>
      <c r="E3" s="9">
        <v>3</v>
      </c>
      <c r="F3" s="9">
        <v>59</v>
      </c>
      <c r="G3" s="8">
        <f>SUM(E3*60+F3)</f>
        <v>239</v>
      </c>
      <c r="H3" s="10">
        <f>SUM(D3/G3*60)</f>
        <v>25.237656903765693</v>
      </c>
      <c r="I3" s="8"/>
    </row>
    <row r="4" spans="1:9">
      <c r="A4" s="5">
        <v>42710</v>
      </c>
      <c r="B4" s="3" t="s">
        <v>193</v>
      </c>
      <c r="C4" s="8">
        <v>2</v>
      </c>
      <c r="D4" s="3">
        <v>96.06</v>
      </c>
      <c r="E4" s="6">
        <v>3</v>
      </c>
      <c r="F4" s="6">
        <v>49</v>
      </c>
      <c r="G4" s="3">
        <f t="shared" ref="G4:G23" si="0">SUM(E4*60+F4)</f>
        <v>229</v>
      </c>
      <c r="H4" s="4">
        <f t="shared" ref="H4:H23" si="1">SUM(D4/G4*60)</f>
        <v>25.168558951965064</v>
      </c>
      <c r="I4" s="3"/>
    </row>
    <row r="5" spans="1:9">
      <c r="A5" s="16">
        <v>42711</v>
      </c>
      <c r="B5" s="15" t="s">
        <v>194</v>
      </c>
      <c r="C5" s="17">
        <v>3</v>
      </c>
      <c r="D5" s="15">
        <v>71.17</v>
      </c>
      <c r="E5" s="18">
        <v>2</v>
      </c>
      <c r="F5" s="18">
        <v>46</v>
      </c>
      <c r="G5" s="15">
        <f t="shared" si="0"/>
        <v>166</v>
      </c>
      <c r="H5" s="19">
        <f t="shared" si="1"/>
        <v>25.724096385542168</v>
      </c>
      <c r="I5" s="15"/>
    </row>
    <row r="6" spans="1:9">
      <c r="A6" s="16">
        <v>42712</v>
      </c>
      <c r="B6" s="15" t="s">
        <v>195</v>
      </c>
      <c r="C6" s="17">
        <v>4</v>
      </c>
      <c r="D6" s="15">
        <v>101.41</v>
      </c>
      <c r="E6" s="18">
        <v>3</v>
      </c>
      <c r="F6" s="18">
        <v>55</v>
      </c>
      <c r="G6" s="15">
        <f t="shared" si="0"/>
        <v>235</v>
      </c>
      <c r="H6" s="19">
        <f t="shared" si="1"/>
        <v>25.89191489361702</v>
      </c>
      <c r="I6" s="15"/>
    </row>
    <row r="7" spans="1:9">
      <c r="A7" s="16">
        <v>42653</v>
      </c>
      <c r="B7" s="15" t="s">
        <v>196</v>
      </c>
      <c r="C7" s="17">
        <v>5</v>
      </c>
      <c r="D7" s="15">
        <v>70.56</v>
      </c>
      <c r="E7" s="18">
        <v>3</v>
      </c>
      <c r="F7" s="18">
        <v>11</v>
      </c>
      <c r="G7" s="15">
        <f t="shared" si="0"/>
        <v>191</v>
      </c>
      <c r="H7" s="19">
        <f t="shared" si="1"/>
        <v>22.165445026178013</v>
      </c>
      <c r="I7" s="15"/>
    </row>
    <row r="8" spans="1:9">
      <c r="A8" s="16">
        <v>42717</v>
      </c>
      <c r="B8" s="15" t="s">
        <v>197</v>
      </c>
      <c r="C8" s="17">
        <v>6</v>
      </c>
      <c r="D8" s="15">
        <v>95.68</v>
      </c>
      <c r="E8" s="18">
        <v>3</v>
      </c>
      <c r="F8" s="18">
        <v>52</v>
      </c>
      <c r="G8" s="15">
        <f t="shared" si="0"/>
        <v>232</v>
      </c>
      <c r="H8" s="19">
        <f t="shared" si="1"/>
        <v>24.744827586206895</v>
      </c>
      <c r="I8" s="15"/>
    </row>
    <row r="9" spans="1:9">
      <c r="A9" s="16">
        <v>42721</v>
      </c>
      <c r="B9" s="15" t="s">
        <v>198</v>
      </c>
      <c r="C9" s="17">
        <v>7</v>
      </c>
      <c r="D9" s="15">
        <v>59.68</v>
      </c>
      <c r="E9" s="18">
        <v>2</v>
      </c>
      <c r="F9" s="18">
        <v>45</v>
      </c>
      <c r="G9" s="15">
        <f t="shared" si="0"/>
        <v>165</v>
      </c>
      <c r="H9" s="19">
        <f t="shared" si="1"/>
        <v>21.701818181818179</v>
      </c>
      <c r="I9" s="15" t="s">
        <v>199</v>
      </c>
    </row>
    <row r="10" spans="1:9">
      <c r="A10" s="5">
        <v>42724</v>
      </c>
      <c r="B10" s="3" t="s">
        <v>200</v>
      </c>
      <c r="C10" s="8">
        <v>8</v>
      </c>
      <c r="D10" s="3">
        <v>90.38</v>
      </c>
      <c r="E10" s="6">
        <v>3</v>
      </c>
      <c r="F10" s="6">
        <v>34</v>
      </c>
      <c r="G10" s="3">
        <f t="shared" si="0"/>
        <v>214</v>
      </c>
      <c r="H10" s="4">
        <f t="shared" si="1"/>
        <v>25.340186915887848</v>
      </c>
      <c r="I10" s="3"/>
    </row>
    <row r="11" spans="1:9">
      <c r="A11" s="5">
        <v>42731</v>
      </c>
      <c r="B11" s="3" t="s">
        <v>201</v>
      </c>
      <c r="C11" s="8">
        <v>9</v>
      </c>
      <c r="D11" s="3">
        <v>97.1</v>
      </c>
      <c r="E11" s="6">
        <v>3</v>
      </c>
      <c r="F11" s="6">
        <v>50</v>
      </c>
      <c r="G11" s="3">
        <f t="shared" si="0"/>
        <v>230</v>
      </c>
      <c r="H11" s="4">
        <f t="shared" si="1"/>
        <v>25.330434782608695</v>
      </c>
      <c r="I11" s="3"/>
    </row>
    <row r="12" spans="1:9">
      <c r="A12" s="5">
        <v>42733</v>
      </c>
      <c r="B12" s="3" t="s">
        <v>202</v>
      </c>
      <c r="C12" s="8">
        <v>10</v>
      </c>
      <c r="D12" s="3">
        <v>98.18</v>
      </c>
      <c r="E12" s="6">
        <v>3</v>
      </c>
      <c r="F12" s="6">
        <v>48</v>
      </c>
      <c r="G12" s="3">
        <f t="shared" si="0"/>
        <v>228</v>
      </c>
      <c r="H12" s="4">
        <f t="shared" si="1"/>
        <v>25.836842105263159</v>
      </c>
      <c r="I12" s="3"/>
    </row>
    <row r="13" spans="1:9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3"/>
    </row>
    <row r="14" spans="1:9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3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880.75</v>
      </c>
    </row>
    <row r="25" spans="1:9">
      <c r="B25">
        <f>SUM(Nov!B25+Déc!D24)</f>
        <v>13066.32</v>
      </c>
    </row>
  </sheetData>
  <mergeCells count="2">
    <mergeCell ref="A1:I1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</cp:lastModifiedBy>
  <dcterms:created xsi:type="dcterms:W3CDTF">2015-01-07T20:15:24Z</dcterms:created>
  <dcterms:modified xsi:type="dcterms:W3CDTF">2017-03-09T19:51:41Z</dcterms:modified>
</cp:coreProperties>
</file>