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3260" windowHeight="9270" firstSheet="1" activeTab="11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25725"/>
</workbook>
</file>

<file path=xl/calcChain.xml><?xml version="1.0" encoding="utf-8"?>
<calcChain xmlns="http://schemas.openxmlformats.org/spreadsheetml/2006/main">
  <c r="G16" i="11"/>
  <c r="G22" i="8"/>
  <c r="G21"/>
  <c r="H21" s="1"/>
  <c r="G20"/>
  <c r="G19"/>
  <c r="G18"/>
  <c r="G17"/>
  <c r="H17" s="1"/>
  <c r="G16"/>
  <c r="G15"/>
  <c r="G14"/>
  <c r="H14" s="1"/>
  <c r="G13"/>
  <c r="H13" s="1"/>
  <c r="G12"/>
  <c r="H12" s="1"/>
  <c r="G11"/>
  <c r="H11" s="1"/>
  <c r="G10"/>
  <c r="G9"/>
  <c r="H9" s="1"/>
  <c r="G8"/>
  <c r="H8" s="1"/>
  <c r="G7"/>
  <c r="H7" s="1"/>
  <c r="G6"/>
  <c r="H6" s="1"/>
  <c r="G5"/>
  <c r="H5" s="1"/>
  <c r="G4"/>
  <c r="H4" s="1"/>
  <c r="G3"/>
  <c r="G26" i="7"/>
  <c r="H12"/>
  <c r="G22"/>
  <c r="H22" s="1"/>
  <c r="G20" i="6"/>
  <c r="H20" s="1"/>
  <c r="G19"/>
  <c r="G18"/>
  <c r="H18" s="1"/>
  <c r="G17"/>
  <c r="H17" s="1"/>
  <c r="G16"/>
  <c r="G15"/>
  <c r="H15" s="1"/>
  <c r="G14"/>
  <c r="H14" s="1"/>
  <c r="G13"/>
  <c r="H13" s="1"/>
  <c r="G12"/>
  <c r="G11"/>
  <c r="H11" s="1"/>
  <c r="G10"/>
  <c r="H10" s="1"/>
  <c r="G9"/>
  <c r="H9" s="1"/>
  <c r="G8"/>
  <c r="H8" s="1"/>
  <c r="G7"/>
  <c r="H7" s="1"/>
  <c r="G6"/>
  <c r="H6" s="1"/>
  <c r="G5"/>
  <c r="H5" s="1"/>
  <c r="G4"/>
  <c r="G3"/>
  <c r="H3" s="1"/>
  <c r="G13" i="4"/>
  <c r="H13" s="1"/>
  <c r="G3" i="1"/>
  <c r="H3" s="1"/>
  <c r="G4"/>
  <c r="H4" s="1"/>
  <c r="G5"/>
  <c r="G6"/>
  <c r="G7"/>
  <c r="G8"/>
  <c r="G9"/>
  <c r="G10"/>
  <c r="H10" s="1"/>
  <c r="G11"/>
  <c r="H11" s="1"/>
  <c r="G12"/>
  <c r="H5"/>
  <c r="H6"/>
  <c r="H7"/>
  <c r="H8"/>
  <c r="H9"/>
  <c r="H12"/>
  <c r="G12" i="11"/>
  <c r="H12" s="1"/>
  <c r="G9" i="9"/>
  <c r="H9" s="1"/>
  <c r="G7"/>
  <c r="H7" s="1"/>
  <c r="G6"/>
  <c r="H6" s="1"/>
  <c r="G8" i="4"/>
  <c r="H8" s="1"/>
  <c r="D24" i="1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1"/>
  <c r="G23"/>
  <c r="H23" s="1"/>
  <c r="G22"/>
  <c r="H22" s="1"/>
  <c r="G21"/>
  <c r="H21" s="1"/>
  <c r="H20"/>
  <c r="G20"/>
  <c r="G19"/>
  <c r="H19" s="1"/>
  <c r="H18"/>
  <c r="G18"/>
  <c r="G17"/>
  <c r="H17" s="1"/>
  <c r="H16"/>
  <c r="G15"/>
  <c r="H15" s="1"/>
  <c r="G14"/>
  <c r="H14" s="1"/>
  <c r="G13"/>
  <c r="H13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0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9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8"/>
  <c r="H8" s="1"/>
  <c r="G5"/>
  <c r="H5" s="1"/>
  <c r="G4"/>
  <c r="H4" s="1"/>
  <c r="G3"/>
  <c r="H3" s="1"/>
  <c r="D25" i="8"/>
  <c r="G24"/>
  <c r="H24" s="1"/>
  <c r="H23"/>
  <c r="G23"/>
  <c r="H22"/>
  <c r="H20"/>
  <c r="H19"/>
  <c r="H18"/>
  <c r="H16"/>
  <c r="H15"/>
  <c r="H10"/>
  <c r="H3"/>
  <c r="D24" i="7"/>
  <c r="G23"/>
  <c r="H23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6"/>
  <c r="H23"/>
  <c r="G23"/>
  <c r="H22"/>
  <c r="G22"/>
  <c r="G21"/>
  <c r="H21" s="1"/>
  <c r="H19"/>
  <c r="H16"/>
  <c r="H12"/>
  <c r="H4"/>
  <c r="D24" i="5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4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2"/>
  <c r="H12" s="1"/>
  <c r="G11"/>
  <c r="H11" s="1"/>
  <c r="G10"/>
  <c r="H10" s="1"/>
  <c r="G9"/>
  <c r="H9" s="1"/>
  <c r="G7"/>
  <c r="H7" s="1"/>
  <c r="G6"/>
  <c r="H6" s="1"/>
  <c r="G5"/>
  <c r="H5" s="1"/>
  <c r="G4"/>
  <c r="H4" s="1"/>
  <c r="G3"/>
  <c r="H3" s="1"/>
  <c r="C25" i="2"/>
  <c r="G23" i="1"/>
  <c r="H23" s="1"/>
  <c r="D24" i="3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H13"/>
  <c r="G13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"/>
  <c r="B25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B25" i="2" l="1"/>
  <c r="B25" i="3" s="1"/>
  <c r="B25" i="4" s="1"/>
  <c r="B25" i="5" s="1"/>
  <c r="B25" i="6" s="1"/>
  <c r="B25" i="7" s="1"/>
  <c r="B26" i="8" s="1"/>
  <c r="B25" i="9" s="1"/>
  <c r="B25" i="10" s="1"/>
  <c r="B25" i="11" s="1"/>
  <c r="B25" i="12" s="1"/>
</calcChain>
</file>

<file path=xl/sharedStrings.xml><?xml version="1.0" encoding="utf-8"?>
<sst xmlns="http://schemas.openxmlformats.org/spreadsheetml/2006/main" count="327" uniqueCount="211">
  <si>
    <t>Dates</t>
  </si>
  <si>
    <t>Désignation Sorties</t>
  </si>
  <si>
    <t>Distances</t>
  </si>
  <si>
    <t>Durées</t>
  </si>
  <si>
    <t>Vit. Moy.</t>
  </si>
  <si>
    <t>Remarques</t>
  </si>
  <si>
    <t>Nb</t>
  </si>
  <si>
    <t>Suivi Performances Janvier 2017</t>
  </si>
  <si>
    <t>Suivi Performances Février 2017</t>
  </si>
  <si>
    <t>Suivi Performances Mars 2017</t>
  </si>
  <si>
    <t>Suivi Performances Avril 2017</t>
  </si>
  <si>
    <t>Suivi Performances Mai 2017</t>
  </si>
  <si>
    <t>Suivi Performances Juillet 2017</t>
  </si>
  <si>
    <t>Suivi Performances Août 2017</t>
  </si>
  <si>
    <t>Suivi Performances Septembre 2017</t>
  </si>
  <si>
    <t>Suivi Performances Octobre 2017</t>
  </si>
  <si>
    <t>Suivi Performances Novembre 2017</t>
  </si>
  <si>
    <t>Suivi Performances Décembre 2017</t>
  </si>
  <si>
    <t>Avoine St Epain Mont Azay</t>
  </si>
  <si>
    <t>Froid</t>
  </si>
  <si>
    <t>Chinon  ingrande Avrillé Gizeux</t>
  </si>
  <si>
    <t>ChinonCourléon La Breille Allonnes</t>
  </si>
  <si>
    <t>Avoine Les Loges Blou Allonnes</t>
  </si>
  <si>
    <t>Chinon Benais Langeais Bréhémont</t>
  </si>
  <si>
    <t>Avoine Chinon St Benoit Cravant Rivarenne</t>
  </si>
  <si>
    <t>Seul Très froid</t>
  </si>
  <si>
    <t>Chinon richelieu St benoit Rigny</t>
  </si>
  <si>
    <t>Très froid</t>
  </si>
  <si>
    <t>Chinon St Epain Noyant Pouzay</t>
  </si>
  <si>
    <t>Avoine Basse Insay Saix</t>
  </si>
  <si>
    <t>Avoine Langeais  Bourgueil</t>
  </si>
  <si>
    <t>Chinon Bourgueil Vernoil Brain Candes</t>
  </si>
  <si>
    <t>Chinon St Benoit Rivarenne Vilaine Nueil Crozilles</t>
  </si>
  <si>
    <t>Avoine Brain</t>
  </si>
  <si>
    <t>Avoine Langeais Avrille Benais</t>
  </si>
  <si>
    <t>Avoine 3Moutiers Arçay Rossay</t>
  </si>
  <si>
    <t>Seul et vent</t>
  </si>
  <si>
    <t>Chinon Souzay Chacé Montreuil Roiffé</t>
  </si>
  <si>
    <t>Avoine Rivarenne Saché Nueil Panzoult</t>
  </si>
  <si>
    <t>Chinon ingrande Les Essarts Gizeux</t>
  </si>
  <si>
    <t>Chinon Couziers Lerné</t>
  </si>
  <si>
    <t>Avoine Basse Insay SaixCandes</t>
  </si>
  <si>
    <t>Tempète</t>
  </si>
  <si>
    <t>Avoine Ligré Lémeré Tour St Gelin IB</t>
  </si>
  <si>
    <t>Seul</t>
  </si>
  <si>
    <t>Avoine Roiffé Montreuil Fontevraud</t>
  </si>
  <si>
    <t>Rencontre cyclo 37 Avoine</t>
  </si>
  <si>
    <t>Chinon Turquant Fontevraud Lerné</t>
  </si>
  <si>
    <t>Chinon Vernoil gizeux Benais Huismes</t>
  </si>
  <si>
    <t>Avoine  Rivarenne Azay Saché Crissay Chinon</t>
  </si>
  <si>
    <t xml:space="preserve">Avoine Véron </t>
  </si>
  <si>
    <t>Chinon Langeais Gizeux Bourgueil</t>
  </si>
  <si>
    <t>Chinon Bournand Mouterre Ceaux</t>
  </si>
  <si>
    <t>Avoine Vivy</t>
  </si>
  <si>
    <t>Avoine Benais Cléré Langeais st Benoit</t>
  </si>
  <si>
    <t>vent fort rafale</t>
  </si>
  <si>
    <t>Chinon Le Puy ND</t>
  </si>
  <si>
    <t>Chinon St Maure Maillé IB</t>
  </si>
  <si>
    <t>Avoine Basse Mouterre Rossay</t>
  </si>
  <si>
    <t>Chinon ernoil Breil Homme Ingrande</t>
  </si>
  <si>
    <t>Chinon Langeais Cléré Benais</t>
  </si>
  <si>
    <t>Avoine Azay Pont Ruan Nueil chinon</t>
  </si>
  <si>
    <t>Chinon St epain Sorigny Mont Azay</t>
  </si>
  <si>
    <t>Chinon Chacé Coudray Cisay Le Puy St Léger</t>
  </si>
  <si>
    <t>Avoine Courléon St Philbert Allonnes</t>
  </si>
  <si>
    <t>Chinon Courléon Breil courcelle Langeais</t>
  </si>
  <si>
    <t>Vent soutenu</t>
  </si>
  <si>
    <t>200 Randonneur St GEORGES (Poitiers)</t>
  </si>
  <si>
    <t>Repos</t>
  </si>
  <si>
    <t>Chinon La Breille Les Essarts Ingrandes</t>
  </si>
  <si>
    <t>Pluie</t>
  </si>
  <si>
    <t>Chinon Allonne Gizeux St Patrice</t>
  </si>
  <si>
    <t>Avoine Azay pont Ruan Nueil Cravant</t>
  </si>
  <si>
    <t>Chinon St Patrice Gizeux Allonnes</t>
  </si>
  <si>
    <t>St MAURE Rando des GRIMPEURS</t>
  </si>
  <si>
    <t>Dénivelé 860 m</t>
  </si>
  <si>
    <t>Chinon Allonne La Breille LesEssarts Langeais</t>
  </si>
  <si>
    <t>300 Randonneur St GEORGES (Poitiers)</t>
  </si>
  <si>
    <t>Chinon Ceaux Nueil Faye Braslou IB</t>
  </si>
  <si>
    <t>Avoine samarsolle Ternay Bisay</t>
  </si>
  <si>
    <t>D+500 m</t>
  </si>
  <si>
    <t>Lectoure Castelnau d'Arbieu Gramont</t>
  </si>
  <si>
    <t>D+700 m</t>
  </si>
  <si>
    <t>Lectoure La Romieu Terraube</t>
  </si>
  <si>
    <t>Lectoure St Clar Casteron Marsac</t>
  </si>
  <si>
    <t>D+950 m</t>
  </si>
  <si>
    <t>Lectoure Le Pont bord GERS</t>
  </si>
  <si>
    <t>D+350 m Evelyne</t>
  </si>
  <si>
    <t>Lectoure Gramont St Créac Plieux</t>
  </si>
  <si>
    <t>D+800 m</t>
  </si>
  <si>
    <t>LectoureRejaumont La sauvetat</t>
  </si>
  <si>
    <t>Soumoulou LE TOURMALET</t>
  </si>
  <si>
    <t>D+2500 m</t>
  </si>
  <si>
    <t>Lectoure Castel Arouy</t>
  </si>
  <si>
    <t>D+400 m Evelyne</t>
  </si>
  <si>
    <t>Lectoure Gramont Mansonville</t>
  </si>
  <si>
    <t>Lectoure Montcrabeau</t>
  </si>
  <si>
    <t>D + 1000 m</t>
  </si>
  <si>
    <t>Lectoure St Mezart Terraube</t>
  </si>
  <si>
    <t>D + 900 m</t>
  </si>
  <si>
    <t>Lectoure Terraube Bord GERS</t>
  </si>
  <si>
    <t>D + 450 m</t>
  </si>
  <si>
    <t>Lectoure Valence sur Baïse</t>
  </si>
  <si>
    <t>Lectoure Estramiac Cumont</t>
  </si>
  <si>
    <t>D + 1100 m</t>
  </si>
  <si>
    <t>D + 350 m Evelyne</t>
  </si>
  <si>
    <t>Lectoure Casteron Miradoux</t>
  </si>
  <si>
    <t>D + 950 m</t>
  </si>
  <si>
    <t>Lectoure Grimbede Astrafort</t>
  </si>
  <si>
    <t>D + 600 m</t>
  </si>
  <si>
    <t>Lectoure St Clar Miradoux</t>
  </si>
  <si>
    <t>D + 700 m</t>
  </si>
  <si>
    <t>Rando à BREZE (49)</t>
  </si>
  <si>
    <t>Evelyne</t>
  </si>
  <si>
    <t>Chinon Vallée de Courtineau</t>
  </si>
  <si>
    <t>Chinon Souzay Brézé ternay Roiffé</t>
  </si>
  <si>
    <t>Avoine Rigny Ussé</t>
  </si>
  <si>
    <t>Avoine Azay Thilouze Panzoult</t>
  </si>
  <si>
    <t>VASSIVIERE</t>
  </si>
  <si>
    <t>Chinon Richelieu Braslou Rilly</t>
  </si>
  <si>
    <t>Avoine Vernoil Mouliherne Blou</t>
  </si>
  <si>
    <t>Avec Evelyne</t>
  </si>
  <si>
    <t>LOUDUN Semaine Régionale ACADIE</t>
  </si>
  <si>
    <t>LOUDUN Semaine Régionale ETERNES</t>
  </si>
  <si>
    <t>LOUDUN Semaine Régionale Rabelais</t>
  </si>
  <si>
    <t>Chinon MOULIHERNE</t>
  </si>
  <si>
    <t>Avoine Azay Saché Nueil Panzoult</t>
  </si>
  <si>
    <t>LOCHES  21° Rando</t>
  </si>
  <si>
    <t>Chinon Crissay IB Chezelle Campigny Marcay</t>
  </si>
  <si>
    <t>Chinon Dampierre Coudray Montreuil</t>
  </si>
  <si>
    <t>LOIRE à Vélo Champvert Chevenon</t>
  </si>
  <si>
    <t>Loire à vélo 2017</t>
  </si>
  <si>
    <t>LOIRE à Vélo Chevenon la Charité</t>
  </si>
  <si>
    <t>LOIRE à Vélo La Charité Beaulieu</t>
  </si>
  <si>
    <t>LOIRE à Vélo Beaulieu Sully</t>
  </si>
  <si>
    <t>LOIRE à Vélo Sully Jargeau</t>
  </si>
  <si>
    <t>LOIRE à Vélo Jargeau St Laurent</t>
  </si>
  <si>
    <t>LOIRE à Vélo CHAMBORD</t>
  </si>
  <si>
    <t>LOIRE à Vélo St Laurent Mosnes</t>
  </si>
  <si>
    <t>LOIRE à Vélo Mosnes Savonniére</t>
  </si>
  <si>
    <t>LOIRE à Vélo Savonniére Avoine</t>
  </si>
  <si>
    <t xml:space="preserve"> </t>
  </si>
  <si>
    <t>Chinon Courléon Blou</t>
  </si>
  <si>
    <t>Avoine Candes Couziers Lerné</t>
  </si>
  <si>
    <t>Chinon 3 Moutiers Curçay Montreuil</t>
  </si>
  <si>
    <t>Avoine Bréhémont</t>
  </si>
  <si>
    <t>Avoine Gizeux Blou</t>
  </si>
  <si>
    <t>Avoine Bizay Vaudelnay MontFort distré</t>
  </si>
  <si>
    <t>Chinon IB Luzé Jaulnay Richelieu</t>
  </si>
  <si>
    <t>Avoine Bourgueil Allonnes</t>
  </si>
  <si>
    <t>Chinon Vallée du courtineau</t>
  </si>
  <si>
    <t>Avoine Vaudelnay Monford Distré</t>
  </si>
  <si>
    <t>Chinon Ville perdu Monts</t>
  </si>
  <si>
    <t>Chinon IB Rilly Assay</t>
  </si>
  <si>
    <t>Chinon Montreuil Distré</t>
  </si>
  <si>
    <t>Chinon Verrie Rou Chacé</t>
  </si>
  <si>
    <t>TIL 2017 Pocé sur Cise  Chinon</t>
  </si>
  <si>
    <t>TIL 2017 Chinon Pocé sur Cise</t>
  </si>
  <si>
    <t>Andernos</t>
  </si>
  <si>
    <t>Chinon La Breille Blou</t>
  </si>
  <si>
    <t>Huismes Rigny</t>
  </si>
  <si>
    <t>1° sortie Ballade</t>
  </si>
  <si>
    <t>Chinon IB Luzé Razines Pouant</t>
  </si>
  <si>
    <t>Avoine Langeais  Cléré Avrillé Benais</t>
  </si>
  <si>
    <t>ChinonVernoil Blou Varennes</t>
  </si>
  <si>
    <t>Avoine Les Loges Huismes</t>
  </si>
  <si>
    <t>Avoine Saumur Chacé</t>
  </si>
  <si>
    <t>Avoine Gizeux Blou Allonnes</t>
  </si>
  <si>
    <t>2° sortie Ballade</t>
  </si>
  <si>
    <t>Chinon Gizeux Cléré Langeais st Benoit</t>
  </si>
  <si>
    <t>Candes couzier Bournand</t>
  </si>
  <si>
    <t>Dans le Véron</t>
  </si>
  <si>
    <t>Rando du Cardinal RICHELIEU</t>
  </si>
  <si>
    <t>Avoine Les loges Varennes</t>
  </si>
  <si>
    <t>Chinon Raslay Brézé candes Chinon</t>
  </si>
  <si>
    <t xml:space="preserve">Avoine Basses Insay Morton </t>
  </si>
  <si>
    <t>Avoine IB Vernueil La Tour StG Assay</t>
  </si>
  <si>
    <t>Bosse de Huismes</t>
  </si>
  <si>
    <t>Chinon IB Rilly Marigny Serigny Pouant</t>
  </si>
  <si>
    <t>Avoine Couziers Cinay</t>
  </si>
  <si>
    <t>Sortie Evelyne</t>
  </si>
  <si>
    <t>Vent fort</t>
  </si>
  <si>
    <t>Avoine Montreuil Courchamps St Cyr</t>
  </si>
  <si>
    <t>Chinon Ceaux Nueil Richelieu IB</t>
  </si>
  <si>
    <t>Chinon Nueil Thilouze Pont Ruan Azay</t>
  </si>
  <si>
    <t>Avoine Gizeux Avrillé Benais</t>
  </si>
  <si>
    <t>Chinon Azay Saché St Epain Crouzille</t>
  </si>
  <si>
    <t>Avoine Morton Bournand Thizay</t>
  </si>
  <si>
    <t>Avoine Basse InsaySt Léger Saix</t>
  </si>
  <si>
    <t>Avoine Balade Club USEAB</t>
  </si>
  <si>
    <t>Chinon St Epain Pouzay IB</t>
  </si>
  <si>
    <t>Chinon Brain La Breille Gizeux bourgueil</t>
  </si>
  <si>
    <t>Chinon Continvoir Langeais Bréhémont</t>
  </si>
  <si>
    <t>Chinon Ricelieu IB Panzoult</t>
  </si>
  <si>
    <t>Chinon Chacé Bagneux Douvy Roiffé</t>
  </si>
  <si>
    <t>Avoine Courléon Recouvrance Varennes</t>
  </si>
  <si>
    <t>Chinon Saumur Rou Marson Brézé Roiffé</t>
  </si>
  <si>
    <t>Chinon Dampierre Chacé Meigné Roiffé</t>
  </si>
  <si>
    <t>Avoine Langeais Avrillé Benais</t>
  </si>
  <si>
    <t>Vent NORD froid</t>
  </si>
  <si>
    <t>Chinon Fontevraud Chacé Chétigné Roiffé</t>
  </si>
  <si>
    <t>Téléthon GENNES  Centrale Chinon</t>
  </si>
  <si>
    <t>Avoine Chacé Coudray Roiffé</t>
  </si>
  <si>
    <t>Chinon IB Pouzay St Epain</t>
  </si>
  <si>
    <t>Avoine Courléon La Breille Allonnes</t>
  </si>
  <si>
    <t>Chinon Bagneux Morton Bournand</t>
  </si>
  <si>
    <t>Chinon Langeais Les Essarts Bourgueil</t>
  </si>
  <si>
    <t>Avoine Azay StEpain Crouzille Chinon</t>
  </si>
  <si>
    <t>Chinon Bournand maulay Ceaux</t>
  </si>
  <si>
    <t>Suivi Performances Juin 2017</t>
  </si>
  <si>
    <t>Chinon Richelieu Braslou Rilly IB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</si>
</sst>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14" fontId="0" fillId="0" borderId="2" xfId="0" applyNumberFormat="1" applyFill="1" applyBorder="1"/>
    <xf numFmtId="0" fontId="0" fillId="0" borderId="2" xfId="0" applyNumberFormat="1" applyFill="1" applyBorder="1"/>
    <xf numFmtId="164" fontId="0" fillId="0" borderId="2" xfId="0" applyNumberFormat="1" applyFill="1" applyBorder="1"/>
    <xf numFmtId="16" fontId="0" fillId="0" borderId="0" xfId="0" applyNumberFormat="1"/>
    <xf numFmtId="0" fontId="0" fillId="0" borderId="0" xfId="0" applyFill="1"/>
    <xf numFmtId="0" fontId="3" fillId="0" borderId="0" xfId="0" applyFont="1"/>
    <xf numFmtId="0" fontId="2" fillId="0" borderId="6" xfId="0" applyFont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" xfId="0" applyNumberFormat="1" applyFill="1" applyBorder="1"/>
    <xf numFmtId="164" fontId="0" fillId="2" borderId="1" xfId="0" applyNumberFormat="1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" xfId="0" applyNumberFormat="1" applyFill="1" applyBorder="1"/>
    <xf numFmtId="164" fontId="0" fillId="3" borderId="1" xfId="0" applyNumberFormat="1" applyFill="1" applyBorder="1"/>
    <xf numFmtId="0" fontId="0" fillId="4" borderId="0" xfId="0" applyFill="1"/>
    <xf numFmtId="0" fontId="0" fillId="4" borderId="0" xfId="0" applyNumberFormat="1" applyFill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Fill="1" applyBorder="1"/>
    <xf numFmtId="0" fontId="2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G26" sqref="G26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10" width="18.5703125" customWidth="1"/>
  </cols>
  <sheetData>
    <row r="1" spans="1:9" ht="27" thickBot="1">
      <c r="A1" s="43" t="s">
        <v>7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7">
        <v>42738</v>
      </c>
      <c r="B3" s="8" t="s">
        <v>18</v>
      </c>
      <c r="C3" s="8">
        <v>1</v>
      </c>
      <c r="D3" s="8">
        <v>73.8</v>
      </c>
      <c r="E3" s="9">
        <v>3</v>
      </c>
      <c r="F3" s="9">
        <v>11</v>
      </c>
      <c r="G3" s="8">
        <f>SUM(E3*60+F3)</f>
        <v>191</v>
      </c>
      <c r="H3" s="10">
        <f>SUM(D3/G3*60)</f>
        <v>23.183246073298427</v>
      </c>
      <c r="I3" s="8" t="s">
        <v>19</v>
      </c>
    </row>
    <row r="4" spans="1:9">
      <c r="A4" s="5">
        <v>42740</v>
      </c>
      <c r="B4" s="3" t="s">
        <v>20</v>
      </c>
      <c r="C4" s="8">
        <v>2</v>
      </c>
      <c r="D4" s="3">
        <v>90.2</v>
      </c>
      <c r="E4" s="6">
        <v>3</v>
      </c>
      <c r="F4" s="6">
        <v>36</v>
      </c>
      <c r="G4" s="3">
        <f t="shared" ref="G4:G23" si="0">SUM(E4*60+F4)</f>
        <v>216</v>
      </c>
      <c r="H4" s="4">
        <f t="shared" ref="H4:H23" si="1">SUM(D4/G4*60)</f>
        <v>25.055555555555557</v>
      </c>
      <c r="I4" s="3"/>
    </row>
    <row r="5" spans="1:9">
      <c r="A5" s="5">
        <v>42745</v>
      </c>
      <c r="B5" s="3" t="s">
        <v>21</v>
      </c>
      <c r="C5" s="8">
        <v>3</v>
      </c>
      <c r="D5" s="3">
        <v>92</v>
      </c>
      <c r="E5" s="6">
        <v>3</v>
      </c>
      <c r="F5" s="6">
        <v>47</v>
      </c>
      <c r="G5" s="3">
        <f t="shared" si="0"/>
        <v>227</v>
      </c>
      <c r="H5" s="4">
        <f t="shared" si="1"/>
        <v>24.317180616740089</v>
      </c>
      <c r="I5" s="3"/>
    </row>
    <row r="6" spans="1:9">
      <c r="A6" s="5">
        <v>42749</v>
      </c>
      <c r="B6" s="3" t="s">
        <v>22</v>
      </c>
      <c r="C6" s="8">
        <v>4</v>
      </c>
      <c r="D6" s="3">
        <v>72.3</v>
      </c>
      <c r="E6" s="6">
        <v>2</v>
      </c>
      <c r="F6" s="6">
        <v>48</v>
      </c>
      <c r="G6" s="3">
        <f t="shared" si="0"/>
        <v>168</v>
      </c>
      <c r="H6" s="4">
        <f t="shared" si="1"/>
        <v>25.821428571428569</v>
      </c>
      <c r="I6" s="8" t="s">
        <v>19</v>
      </c>
    </row>
    <row r="7" spans="1:9">
      <c r="A7" s="5">
        <v>42752</v>
      </c>
      <c r="B7" s="3" t="s">
        <v>23</v>
      </c>
      <c r="C7" s="8">
        <v>5</v>
      </c>
      <c r="D7" s="3">
        <v>90.7</v>
      </c>
      <c r="E7" s="6">
        <v>3</v>
      </c>
      <c r="F7" s="6">
        <v>54</v>
      </c>
      <c r="G7" s="3">
        <f t="shared" si="0"/>
        <v>234</v>
      </c>
      <c r="H7" s="4">
        <f t="shared" si="1"/>
        <v>23.256410256410255</v>
      </c>
      <c r="I7" s="8" t="s">
        <v>19</v>
      </c>
    </row>
    <row r="8" spans="1:9">
      <c r="A8" s="5">
        <v>42754</v>
      </c>
      <c r="B8" s="3" t="s">
        <v>24</v>
      </c>
      <c r="C8" s="8">
        <v>6</v>
      </c>
      <c r="D8" s="3">
        <v>81.400000000000006</v>
      </c>
      <c r="E8" s="6">
        <v>3</v>
      </c>
      <c r="F8" s="6">
        <v>23</v>
      </c>
      <c r="G8" s="3">
        <f t="shared" si="0"/>
        <v>203</v>
      </c>
      <c r="H8" s="4">
        <f t="shared" si="1"/>
        <v>24.059113300492612</v>
      </c>
      <c r="I8" s="3" t="s">
        <v>25</v>
      </c>
    </row>
    <row r="9" spans="1:9">
      <c r="A9" s="5">
        <v>42759</v>
      </c>
      <c r="B9" s="3" t="s">
        <v>26</v>
      </c>
      <c r="C9" s="8">
        <v>7</v>
      </c>
      <c r="D9" s="3">
        <v>90.5</v>
      </c>
      <c r="E9" s="6">
        <v>3</v>
      </c>
      <c r="F9" s="6">
        <v>47</v>
      </c>
      <c r="G9" s="3">
        <f t="shared" si="0"/>
        <v>227</v>
      </c>
      <c r="H9" s="4">
        <f t="shared" si="1"/>
        <v>23.920704845814978</v>
      </c>
      <c r="I9" s="3" t="s">
        <v>27</v>
      </c>
    </row>
    <row r="10" spans="1:9">
      <c r="A10" s="5">
        <v>42761</v>
      </c>
      <c r="B10" s="3" t="s">
        <v>28</v>
      </c>
      <c r="C10" s="8">
        <v>8</v>
      </c>
      <c r="D10" s="3">
        <v>102.3</v>
      </c>
      <c r="E10" s="6">
        <v>4</v>
      </c>
      <c r="F10" s="6">
        <v>2</v>
      </c>
      <c r="G10" s="3">
        <f t="shared" si="0"/>
        <v>242</v>
      </c>
      <c r="H10" s="4">
        <f t="shared" si="1"/>
        <v>25.363636363636363</v>
      </c>
      <c r="I10" s="3"/>
    </row>
    <row r="11" spans="1:9">
      <c r="A11" s="5">
        <v>42763</v>
      </c>
      <c r="B11" s="3" t="s">
        <v>29</v>
      </c>
      <c r="C11" s="8">
        <v>9</v>
      </c>
      <c r="D11" s="3">
        <v>73.2</v>
      </c>
      <c r="E11" s="6">
        <v>3</v>
      </c>
      <c r="F11" s="6">
        <v>1</v>
      </c>
      <c r="G11" s="3">
        <f t="shared" si="0"/>
        <v>181</v>
      </c>
      <c r="H11" s="4">
        <f t="shared" si="1"/>
        <v>24.265193370165747</v>
      </c>
      <c r="I11" s="3"/>
    </row>
    <row r="12" spans="1:9">
      <c r="A12" s="5"/>
      <c r="B12" s="3"/>
      <c r="C12" s="8">
        <v>10</v>
      </c>
      <c r="D12" s="3"/>
      <c r="E12" s="6"/>
      <c r="F12" s="6"/>
      <c r="G12" s="3">
        <f t="shared" si="0"/>
        <v>0</v>
      </c>
      <c r="H12" s="4" t="e">
        <f t="shared" si="1"/>
        <v>#DIV/0!</v>
      </c>
      <c r="I12" s="3"/>
    </row>
    <row r="13" spans="1:9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3"/>
    </row>
    <row r="14" spans="1:9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3"/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766.4</v>
      </c>
    </row>
    <row r="25" spans="1:9">
      <c r="B25">
        <f>SUM(D24+0)</f>
        <v>766.4</v>
      </c>
    </row>
  </sheetData>
  <mergeCells count="2">
    <mergeCell ref="E2:G2"/>
    <mergeCell ref="A1:I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D17" sqref="D17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8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7">
        <v>42772</v>
      </c>
      <c r="B3" s="8" t="s">
        <v>30</v>
      </c>
      <c r="C3" s="8">
        <v>1</v>
      </c>
      <c r="D3" s="8">
        <v>75.3</v>
      </c>
      <c r="E3" s="9">
        <v>3</v>
      </c>
      <c r="F3" s="9">
        <v>6</v>
      </c>
      <c r="G3" s="8">
        <f>SUM(E3*60+F3)</f>
        <v>186</v>
      </c>
      <c r="H3" s="10">
        <f>SUM(D3/G3*60)</f>
        <v>24.29032258064516</v>
      </c>
      <c r="I3" s="8"/>
    </row>
    <row r="4" spans="1:9">
      <c r="A4" s="5">
        <v>42773</v>
      </c>
      <c r="B4" s="3" t="s">
        <v>31</v>
      </c>
      <c r="C4" s="8">
        <v>2</v>
      </c>
      <c r="D4" s="3">
        <v>89.4</v>
      </c>
      <c r="E4" s="6">
        <v>3</v>
      </c>
      <c r="F4" s="6">
        <v>40</v>
      </c>
      <c r="G4" s="3">
        <f t="shared" ref="G4:G23" si="0">SUM(E4*60+F4)</f>
        <v>220</v>
      </c>
      <c r="H4" s="4">
        <f t="shared" ref="H4:H23" si="1">SUM(D4/G4*60)</f>
        <v>24.381818181818183</v>
      </c>
      <c r="I4" s="3"/>
    </row>
    <row r="5" spans="1:9">
      <c r="A5" s="5">
        <v>42775</v>
      </c>
      <c r="B5" s="3" t="s">
        <v>32</v>
      </c>
      <c r="C5" s="8">
        <v>3</v>
      </c>
      <c r="D5" s="3">
        <v>100.8</v>
      </c>
      <c r="E5" s="6">
        <v>4</v>
      </c>
      <c r="F5" s="6">
        <v>3</v>
      </c>
      <c r="G5" s="3">
        <f t="shared" si="0"/>
        <v>243</v>
      </c>
      <c r="H5" s="4">
        <f t="shared" si="1"/>
        <v>24.888888888888889</v>
      </c>
      <c r="I5" s="3"/>
    </row>
    <row r="6" spans="1:9">
      <c r="A6" s="5">
        <v>42776</v>
      </c>
      <c r="B6" s="3" t="s">
        <v>33</v>
      </c>
      <c r="C6" s="8">
        <v>4</v>
      </c>
      <c r="D6" s="3">
        <v>46.8</v>
      </c>
      <c r="E6" s="6">
        <v>1</v>
      </c>
      <c r="F6" s="6">
        <v>59</v>
      </c>
      <c r="G6" s="3">
        <f t="shared" si="0"/>
        <v>119</v>
      </c>
      <c r="H6" s="4">
        <f t="shared" si="1"/>
        <v>23.596638655462183</v>
      </c>
      <c r="I6" s="3"/>
    </row>
    <row r="7" spans="1:9">
      <c r="A7" s="5">
        <v>42777</v>
      </c>
      <c r="B7" s="3" t="s">
        <v>34</v>
      </c>
      <c r="C7" s="8">
        <v>5</v>
      </c>
      <c r="D7" s="3">
        <v>69</v>
      </c>
      <c r="E7" s="6">
        <v>2</v>
      </c>
      <c r="F7" s="6">
        <v>53</v>
      </c>
      <c r="G7" s="3">
        <f t="shared" si="0"/>
        <v>173</v>
      </c>
      <c r="H7" s="4">
        <f t="shared" si="1"/>
        <v>23.930635838150291</v>
      </c>
      <c r="I7" s="3"/>
    </row>
    <row r="8" spans="1:9">
      <c r="A8" s="5">
        <v>42780</v>
      </c>
      <c r="B8" s="3" t="s">
        <v>35</v>
      </c>
      <c r="C8" s="8">
        <v>6</v>
      </c>
      <c r="D8" s="3">
        <v>93.6</v>
      </c>
      <c r="E8" s="6">
        <v>3</v>
      </c>
      <c r="F8" s="6">
        <v>41</v>
      </c>
      <c r="G8" s="3">
        <f t="shared" si="0"/>
        <v>221</v>
      </c>
      <c r="H8" s="4">
        <f t="shared" si="1"/>
        <v>25.411764705882351</v>
      </c>
      <c r="I8" s="3" t="s">
        <v>36</v>
      </c>
    </row>
    <row r="9" spans="1:9">
      <c r="A9" s="5">
        <v>42782</v>
      </c>
      <c r="B9" s="3" t="s">
        <v>37</v>
      </c>
      <c r="C9" s="8">
        <v>7</v>
      </c>
      <c r="D9" s="3">
        <v>95.3</v>
      </c>
      <c r="E9" s="6">
        <v>3</v>
      </c>
      <c r="F9" s="6">
        <v>47</v>
      </c>
      <c r="G9" s="3">
        <f t="shared" si="0"/>
        <v>227</v>
      </c>
      <c r="H9" s="4">
        <f t="shared" si="1"/>
        <v>25.189427312775329</v>
      </c>
      <c r="I9" s="3"/>
    </row>
    <row r="10" spans="1:9">
      <c r="A10" s="5">
        <v>42784</v>
      </c>
      <c r="B10" s="3" t="s">
        <v>38</v>
      </c>
      <c r="C10" s="8">
        <v>8</v>
      </c>
      <c r="D10" s="3">
        <v>77</v>
      </c>
      <c r="E10" s="6">
        <v>3</v>
      </c>
      <c r="F10" s="6">
        <v>10</v>
      </c>
      <c r="G10" s="3">
        <f t="shared" si="0"/>
        <v>190</v>
      </c>
      <c r="H10" s="4">
        <f t="shared" si="1"/>
        <v>24.315789473684209</v>
      </c>
      <c r="I10" s="3"/>
    </row>
    <row r="11" spans="1:9">
      <c r="A11" s="5">
        <v>42787</v>
      </c>
      <c r="B11" s="3" t="s">
        <v>39</v>
      </c>
      <c r="C11" s="8">
        <v>9</v>
      </c>
      <c r="D11" s="3">
        <v>101.3</v>
      </c>
      <c r="E11" s="6">
        <v>4</v>
      </c>
      <c r="F11" s="6">
        <v>4</v>
      </c>
      <c r="G11" s="3">
        <f t="shared" si="0"/>
        <v>244</v>
      </c>
      <c r="H11" s="4">
        <f t="shared" si="1"/>
        <v>24.909836065573771</v>
      </c>
      <c r="I11" s="3"/>
    </row>
    <row r="12" spans="1:9">
      <c r="A12" s="5">
        <v>42789</v>
      </c>
      <c r="B12" s="3" t="s">
        <v>40</v>
      </c>
      <c r="C12" s="8">
        <v>10</v>
      </c>
      <c r="D12" s="3">
        <v>96.3</v>
      </c>
      <c r="E12" s="6">
        <v>3</v>
      </c>
      <c r="F12" s="6">
        <v>44</v>
      </c>
      <c r="G12" s="3">
        <f t="shared" si="0"/>
        <v>224</v>
      </c>
      <c r="H12" s="4">
        <f t="shared" si="1"/>
        <v>25.794642857142854</v>
      </c>
      <c r="I12" s="3"/>
    </row>
    <row r="13" spans="1:9">
      <c r="A13" s="5">
        <v>42791</v>
      </c>
      <c r="B13" s="3" t="s">
        <v>41</v>
      </c>
      <c r="C13" s="8">
        <v>11</v>
      </c>
      <c r="D13" s="3">
        <v>75.3</v>
      </c>
      <c r="E13" s="6">
        <v>3</v>
      </c>
      <c r="F13" s="6">
        <v>15</v>
      </c>
      <c r="G13" s="3">
        <f t="shared" si="0"/>
        <v>195</v>
      </c>
      <c r="H13" s="4">
        <f t="shared" si="1"/>
        <v>23.169230769230769</v>
      </c>
      <c r="I13" s="8"/>
    </row>
    <row r="14" spans="1:9">
      <c r="A14" s="5">
        <v>42794</v>
      </c>
      <c r="B14" s="3"/>
      <c r="C14" s="8">
        <v>12</v>
      </c>
      <c r="D14" s="3">
        <v>0</v>
      </c>
      <c r="E14" s="6"/>
      <c r="F14" s="6"/>
      <c r="G14" s="3">
        <f t="shared" si="0"/>
        <v>0</v>
      </c>
      <c r="H14" s="4" t="e">
        <f t="shared" si="1"/>
        <v>#DIV/0!</v>
      </c>
      <c r="I14" s="3" t="s">
        <v>42</v>
      </c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920.0999999999998</v>
      </c>
    </row>
    <row r="25" spans="1:9">
      <c r="B25">
        <f>SUM(Janv!B25+Fév!D24)</f>
        <v>1686.4999999999998</v>
      </c>
      <c r="C25">
        <f>SUM(Janv!E24+Fév!E24)</f>
        <v>0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F18" sqref="F18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9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7">
        <v>42796</v>
      </c>
      <c r="B3" s="8" t="s">
        <v>43</v>
      </c>
      <c r="C3" s="8">
        <v>1</v>
      </c>
      <c r="D3" s="8">
        <v>75.5</v>
      </c>
      <c r="E3" s="9">
        <v>2</v>
      </c>
      <c r="F3" s="9">
        <v>57</v>
      </c>
      <c r="G3" s="8">
        <f>SUM(E3*60+F3)</f>
        <v>177</v>
      </c>
      <c r="H3" s="10">
        <f>SUM(D3/G3*60)</f>
        <v>25.593220338983052</v>
      </c>
      <c r="I3" s="8" t="s">
        <v>44</v>
      </c>
    </row>
    <row r="4" spans="1:9">
      <c r="A4" s="5">
        <v>42798</v>
      </c>
      <c r="B4" s="3" t="s">
        <v>45</v>
      </c>
      <c r="C4" s="8">
        <v>2</v>
      </c>
      <c r="D4" s="3">
        <v>82.7</v>
      </c>
      <c r="E4" s="6">
        <v>3</v>
      </c>
      <c r="F4" s="6">
        <v>32</v>
      </c>
      <c r="G4" s="3">
        <f t="shared" ref="G4:G23" si="0">SUM(E4*60+F4)</f>
        <v>212</v>
      </c>
      <c r="H4" s="4">
        <f t="shared" ref="H4:H23" si="1">SUM(D4/G4*60)</f>
        <v>23.40566037735849</v>
      </c>
      <c r="I4" s="3"/>
    </row>
    <row r="5" spans="1:9">
      <c r="A5" s="5">
        <v>42799</v>
      </c>
      <c r="B5" s="3" t="s">
        <v>46</v>
      </c>
      <c r="C5" s="8">
        <v>3</v>
      </c>
      <c r="D5" s="3">
        <v>19.7</v>
      </c>
      <c r="E5" s="6">
        <v>0</v>
      </c>
      <c r="F5" s="6">
        <v>52</v>
      </c>
      <c r="G5" s="3">
        <f t="shared" si="0"/>
        <v>52</v>
      </c>
      <c r="H5" s="4">
        <f t="shared" si="1"/>
        <v>22.73076923076923</v>
      </c>
      <c r="I5" s="3"/>
    </row>
    <row r="6" spans="1:9">
      <c r="A6" s="5">
        <v>42801</v>
      </c>
      <c r="B6" s="3" t="s">
        <v>47</v>
      </c>
      <c r="C6" s="8">
        <v>4</v>
      </c>
      <c r="D6" s="3">
        <v>64</v>
      </c>
      <c r="E6" s="6">
        <v>2</v>
      </c>
      <c r="F6" s="6">
        <v>45</v>
      </c>
      <c r="G6" s="3">
        <f t="shared" si="0"/>
        <v>165</v>
      </c>
      <c r="H6" s="4">
        <f t="shared" si="1"/>
        <v>23.272727272727273</v>
      </c>
      <c r="I6" s="3"/>
    </row>
    <row r="7" spans="1:9">
      <c r="A7" s="5">
        <v>42803</v>
      </c>
      <c r="B7" s="3" t="s">
        <v>48</v>
      </c>
      <c r="C7" s="8">
        <v>5</v>
      </c>
      <c r="D7" s="3">
        <v>110</v>
      </c>
      <c r="E7" s="6">
        <v>4</v>
      </c>
      <c r="F7" s="6">
        <v>26</v>
      </c>
      <c r="G7" s="3">
        <f t="shared" si="0"/>
        <v>266</v>
      </c>
      <c r="H7" s="4">
        <f t="shared" si="1"/>
        <v>24.81203007518797</v>
      </c>
      <c r="I7" s="3"/>
    </row>
    <row r="8" spans="1:9">
      <c r="A8" s="5">
        <v>42805</v>
      </c>
      <c r="B8" s="3" t="s">
        <v>49</v>
      </c>
      <c r="C8" s="8">
        <v>6</v>
      </c>
      <c r="D8" s="3">
        <v>75</v>
      </c>
      <c r="E8" s="6">
        <v>2</v>
      </c>
      <c r="F8" s="6">
        <v>59</v>
      </c>
      <c r="G8" s="3">
        <f t="shared" si="0"/>
        <v>179</v>
      </c>
      <c r="H8" s="4">
        <f t="shared" si="1"/>
        <v>25.139664804469273</v>
      </c>
      <c r="I8" s="3"/>
    </row>
    <row r="9" spans="1:9">
      <c r="A9" s="5">
        <v>42805</v>
      </c>
      <c r="B9" s="3" t="s">
        <v>50</v>
      </c>
      <c r="C9" s="8">
        <v>7</v>
      </c>
      <c r="D9" s="3">
        <v>22</v>
      </c>
      <c r="E9" s="6">
        <v>1</v>
      </c>
      <c r="F9" s="6">
        <v>15</v>
      </c>
      <c r="G9" s="3">
        <f t="shared" si="0"/>
        <v>75</v>
      </c>
      <c r="H9" s="4">
        <f t="shared" si="1"/>
        <v>17.600000000000001</v>
      </c>
      <c r="I9" s="3"/>
    </row>
    <row r="10" spans="1:9">
      <c r="A10" s="5">
        <v>42808</v>
      </c>
      <c r="B10" s="3" t="s">
        <v>51</v>
      </c>
      <c r="C10" s="8">
        <v>8</v>
      </c>
      <c r="D10" s="3">
        <v>115.4</v>
      </c>
      <c r="E10" s="6">
        <v>4</v>
      </c>
      <c r="F10" s="6">
        <v>30</v>
      </c>
      <c r="G10" s="3">
        <f t="shared" si="0"/>
        <v>270</v>
      </c>
      <c r="H10" s="4">
        <f t="shared" si="1"/>
        <v>25.644444444444446</v>
      </c>
      <c r="I10" s="3"/>
    </row>
    <row r="11" spans="1:9">
      <c r="A11" s="5">
        <v>42817</v>
      </c>
      <c r="B11" s="3" t="s">
        <v>52</v>
      </c>
      <c r="C11" s="8">
        <v>9</v>
      </c>
      <c r="D11" s="3">
        <v>91</v>
      </c>
      <c r="E11" s="6">
        <v>3</v>
      </c>
      <c r="F11" s="6">
        <v>30</v>
      </c>
      <c r="G11" s="3">
        <f t="shared" si="0"/>
        <v>210</v>
      </c>
      <c r="H11" s="4">
        <f t="shared" si="1"/>
        <v>26</v>
      </c>
      <c r="I11" s="3"/>
    </row>
    <row r="12" spans="1:9">
      <c r="A12" s="5">
        <v>42818</v>
      </c>
      <c r="B12" s="3" t="s">
        <v>53</v>
      </c>
      <c r="C12" s="8">
        <v>10</v>
      </c>
      <c r="D12" s="3">
        <v>68.599999999999994</v>
      </c>
      <c r="E12" s="6">
        <v>2</v>
      </c>
      <c r="F12" s="6">
        <v>50</v>
      </c>
      <c r="G12" s="3">
        <f t="shared" si="0"/>
        <v>170</v>
      </c>
      <c r="H12" s="4">
        <f t="shared" si="1"/>
        <v>24.211764705882352</v>
      </c>
      <c r="I12" s="3"/>
    </row>
    <row r="13" spans="1:9">
      <c r="A13" s="5">
        <v>42819</v>
      </c>
      <c r="B13" s="3" t="s">
        <v>54</v>
      </c>
      <c r="C13" s="8">
        <v>11</v>
      </c>
      <c r="D13" s="3">
        <v>86.8</v>
      </c>
      <c r="E13" s="6">
        <v>3</v>
      </c>
      <c r="F13" s="6">
        <v>30</v>
      </c>
      <c r="G13" s="3">
        <f t="shared" si="0"/>
        <v>210</v>
      </c>
      <c r="H13" s="4">
        <f t="shared" si="1"/>
        <v>24.8</v>
      </c>
      <c r="I13" s="8" t="s">
        <v>55</v>
      </c>
    </row>
    <row r="14" spans="1:9">
      <c r="A14" s="5">
        <v>42822</v>
      </c>
      <c r="B14" s="3" t="s">
        <v>56</v>
      </c>
      <c r="C14" s="8">
        <v>12</v>
      </c>
      <c r="D14" s="3">
        <v>115</v>
      </c>
      <c r="E14" s="6">
        <v>4</v>
      </c>
      <c r="F14" s="6">
        <v>25</v>
      </c>
      <c r="G14" s="3">
        <f t="shared" si="0"/>
        <v>265</v>
      </c>
      <c r="H14" s="4">
        <f t="shared" si="1"/>
        <v>26.037735849056606</v>
      </c>
      <c r="I14" s="3" t="s">
        <v>44</v>
      </c>
    </row>
    <row r="15" spans="1:9">
      <c r="A15" s="5">
        <v>42824</v>
      </c>
      <c r="B15" s="3" t="s">
        <v>57</v>
      </c>
      <c r="C15" s="8">
        <v>13</v>
      </c>
      <c r="D15" s="3">
        <v>116</v>
      </c>
      <c r="E15" s="6">
        <v>4</v>
      </c>
      <c r="F15" s="6">
        <v>26</v>
      </c>
      <c r="G15" s="3">
        <f t="shared" si="0"/>
        <v>266</v>
      </c>
      <c r="H15" s="4">
        <f t="shared" si="1"/>
        <v>26.165413533834585</v>
      </c>
      <c r="I15" s="8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1041.6999999999998</v>
      </c>
    </row>
    <row r="25" spans="1:9">
      <c r="B25">
        <f>SUM(Fév!B25+Mar!D24)</f>
        <v>2728.2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B12" sqref="B1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10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7">
        <v>42826</v>
      </c>
      <c r="B3" s="8" t="s">
        <v>58</v>
      </c>
      <c r="C3" s="8">
        <v>1</v>
      </c>
      <c r="D3" s="8">
        <v>81</v>
      </c>
      <c r="E3" s="9">
        <v>3</v>
      </c>
      <c r="F3" s="9">
        <v>13</v>
      </c>
      <c r="G3" s="8">
        <f>SUM(E3*60+F3)</f>
        <v>193</v>
      </c>
      <c r="H3" s="10">
        <f>SUM(D3/G3*60)</f>
        <v>25.181347150259068</v>
      </c>
      <c r="I3" s="8"/>
    </row>
    <row r="4" spans="1:9">
      <c r="A4" s="5">
        <v>42829</v>
      </c>
      <c r="B4" s="3" t="s">
        <v>59</v>
      </c>
      <c r="C4" s="8">
        <v>2</v>
      </c>
      <c r="D4" s="3">
        <v>126</v>
      </c>
      <c r="E4" s="6">
        <v>5</v>
      </c>
      <c r="F4" s="6">
        <v>0</v>
      </c>
      <c r="G4" s="3">
        <f t="shared" ref="G4:G23" si="0">SUM(E4*60+F4)</f>
        <v>300</v>
      </c>
      <c r="H4" s="4">
        <f t="shared" ref="H4:H23" si="1">SUM(D4/G4*60)</f>
        <v>25.2</v>
      </c>
      <c r="I4" s="3"/>
    </row>
    <row r="5" spans="1:9">
      <c r="A5" s="5">
        <v>42831</v>
      </c>
      <c r="B5" s="3" t="s">
        <v>60</v>
      </c>
      <c r="C5" s="8">
        <v>3</v>
      </c>
      <c r="D5" s="3">
        <v>104</v>
      </c>
      <c r="E5" s="6">
        <v>4</v>
      </c>
      <c r="F5" s="6">
        <v>20</v>
      </c>
      <c r="G5" s="3">
        <f t="shared" si="0"/>
        <v>260</v>
      </c>
      <c r="H5" s="4">
        <f t="shared" si="1"/>
        <v>24</v>
      </c>
      <c r="I5" s="3"/>
    </row>
    <row r="6" spans="1:9">
      <c r="A6" s="5">
        <v>42833</v>
      </c>
      <c r="B6" s="3" t="s">
        <v>61</v>
      </c>
      <c r="C6" s="8">
        <v>4</v>
      </c>
      <c r="D6" s="3">
        <v>83</v>
      </c>
      <c r="E6" s="6">
        <v>2</v>
      </c>
      <c r="F6" s="6">
        <v>58</v>
      </c>
      <c r="G6" s="3">
        <f t="shared" si="0"/>
        <v>178</v>
      </c>
      <c r="H6" s="4">
        <f t="shared" si="1"/>
        <v>27.977528089887638</v>
      </c>
      <c r="I6" s="3"/>
    </row>
    <row r="7" spans="1:9">
      <c r="A7" s="5">
        <v>42836</v>
      </c>
      <c r="B7" s="3" t="s">
        <v>62</v>
      </c>
      <c r="C7" s="8">
        <v>5</v>
      </c>
      <c r="D7" s="3">
        <v>122.5</v>
      </c>
      <c r="E7" s="6">
        <v>4</v>
      </c>
      <c r="F7" s="6">
        <v>53</v>
      </c>
      <c r="G7" s="3">
        <f t="shared" si="0"/>
        <v>293</v>
      </c>
      <c r="H7" s="4">
        <f t="shared" si="1"/>
        <v>25.085324232081913</v>
      </c>
      <c r="I7" s="3"/>
    </row>
    <row r="8" spans="1:9">
      <c r="A8" s="16">
        <v>42838</v>
      </c>
      <c r="B8" s="15" t="s">
        <v>63</v>
      </c>
      <c r="C8" s="17">
        <v>6</v>
      </c>
      <c r="D8" s="15">
        <v>112.5</v>
      </c>
      <c r="E8" s="18">
        <v>4</v>
      </c>
      <c r="F8" s="18">
        <v>29</v>
      </c>
      <c r="G8" s="15">
        <f t="shared" si="0"/>
        <v>269</v>
      </c>
      <c r="H8" s="19">
        <f t="shared" si="1"/>
        <v>25.092936802973977</v>
      </c>
      <c r="I8" s="15"/>
    </row>
    <row r="9" spans="1:9">
      <c r="A9" s="16">
        <v>42840</v>
      </c>
      <c r="B9" s="15" t="s">
        <v>64</v>
      </c>
      <c r="C9" s="17">
        <v>7</v>
      </c>
      <c r="D9" s="15">
        <v>82.5</v>
      </c>
      <c r="E9" s="18">
        <v>3</v>
      </c>
      <c r="F9" s="18">
        <v>11</v>
      </c>
      <c r="G9" s="15">
        <f t="shared" si="0"/>
        <v>191</v>
      </c>
      <c r="H9" s="19">
        <f t="shared" si="1"/>
        <v>25.916230366492144</v>
      </c>
      <c r="I9" s="15"/>
    </row>
    <row r="10" spans="1:9">
      <c r="A10" s="16">
        <v>42843</v>
      </c>
      <c r="B10" s="15" t="s">
        <v>65</v>
      </c>
      <c r="C10" s="17">
        <v>8</v>
      </c>
      <c r="D10" s="15">
        <v>122.2</v>
      </c>
      <c r="E10" s="18">
        <v>4</v>
      </c>
      <c r="F10" s="18">
        <v>49</v>
      </c>
      <c r="G10" s="15">
        <f t="shared" si="0"/>
        <v>289</v>
      </c>
      <c r="H10" s="19">
        <f t="shared" si="1"/>
        <v>25.370242214532873</v>
      </c>
      <c r="I10" s="15" t="s">
        <v>66</v>
      </c>
    </row>
    <row r="11" spans="1:9">
      <c r="A11" s="16">
        <v>42845</v>
      </c>
      <c r="B11" s="15" t="s">
        <v>68</v>
      </c>
      <c r="C11" s="17">
        <v>9</v>
      </c>
      <c r="D11" s="15"/>
      <c r="E11" s="18"/>
      <c r="F11" s="18"/>
      <c r="G11" s="15">
        <f t="shared" si="0"/>
        <v>0</v>
      </c>
      <c r="H11" s="19" t="e">
        <f t="shared" si="1"/>
        <v>#DIV/0!</v>
      </c>
      <c r="I11" s="15"/>
    </row>
    <row r="12" spans="1:9">
      <c r="A12" s="16">
        <v>42847</v>
      </c>
      <c r="B12" s="15" t="s">
        <v>67</v>
      </c>
      <c r="C12" s="17">
        <v>10</v>
      </c>
      <c r="D12" s="15">
        <v>213.6</v>
      </c>
      <c r="E12" s="18">
        <v>8</v>
      </c>
      <c r="F12" s="18">
        <v>32</v>
      </c>
      <c r="G12" s="15">
        <f t="shared" si="0"/>
        <v>512</v>
      </c>
      <c r="H12" s="19">
        <f t="shared" si="1"/>
        <v>25.03125</v>
      </c>
      <c r="I12" s="15" t="s">
        <v>66</v>
      </c>
    </row>
    <row r="13" spans="1:9">
      <c r="A13" s="5">
        <v>42850</v>
      </c>
      <c r="B13" s="3" t="s">
        <v>69</v>
      </c>
      <c r="C13" s="8">
        <v>11</v>
      </c>
      <c r="D13" s="3">
        <v>100.7</v>
      </c>
      <c r="E13" s="6">
        <v>4</v>
      </c>
      <c r="F13" s="6">
        <v>2</v>
      </c>
      <c r="G13" s="3">
        <f t="shared" si="0"/>
        <v>242</v>
      </c>
      <c r="H13" s="4">
        <f t="shared" si="1"/>
        <v>24.966942148760332</v>
      </c>
      <c r="I13" s="3" t="s">
        <v>70</v>
      </c>
    </row>
    <row r="14" spans="1:9">
      <c r="A14" s="5">
        <v>42852</v>
      </c>
      <c r="B14" s="3" t="s">
        <v>71</v>
      </c>
      <c r="C14" s="8">
        <v>12</v>
      </c>
      <c r="D14" s="3">
        <v>109.4</v>
      </c>
      <c r="E14" s="6">
        <v>4</v>
      </c>
      <c r="F14" s="6">
        <v>23</v>
      </c>
      <c r="G14" s="3">
        <f t="shared" si="0"/>
        <v>263</v>
      </c>
      <c r="H14" s="4">
        <f t="shared" si="1"/>
        <v>24.958174904942968</v>
      </c>
      <c r="I14" s="3"/>
    </row>
    <row r="15" spans="1:9">
      <c r="A15" s="5">
        <v>42854</v>
      </c>
      <c r="B15" s="3" t="s">
        <v>72</v>
      </c>
      <c r="C15" s="8">
        <v>13</v>
      </c>
      <c r="D15" s="3">
        <v>83.1</v>
      </c>
      <c r="E15" s="6">
        <v>3</v>
      </c>
      <c r="F15" s="6">
        <v>28</v>
      </c>
      <c r="G15" s="3">
        <f t="shared" si="0"/>
        <v>208</v>
      </c>
      <c r="H15" s="4">
        <f t="shared" si="1"/>
        <v>23.971153846153843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1340.5</v>
      </c>
    </row>
    <row r="25" spans="1:9">
      <c r="B25">
        <f>SUM(Mar!B25+Avr!D24)</f>
        <v>4068.7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howOutlineSymbols="0"/>
  </sheetPr>
  <dimension ref="A1:K25"/>
  <sheetViews>
    <sheetView showOutlineSymbols="0" workbookViewId="0">
      <selection activeCell="L18" sqref="L18"/>
    </sheetView>
  </sheetViews>
  <sheetFormatPr baseColWidth="10" defaultRowHeight="15" outlineLevelRow="1" outlineLevelCol="2"/>
  <cols>
    <col min="2" max="2" width="34.28515625" customWidth="1"/>
    <col min="3" max="3" width="4" customWidth="1"/>
    <col min="4" max="4" width="12" customWidth="1" outlineLevel="1"/>
    <col min="5" max="5" width="5.7109375" style="1" customWidth="1" outlineLevel="2"/>
    <col min="6" max="6" width="5.85546875" customWidth="1" outlineLevel="2"/>
    <col min="7" max="7" width="5.7109375" customWidth="1" outlineLevel="1"/>
    <col min="8" max="8" width="11.42578125" style="2"/>
    <col min="9" max="9" width="18.5703125" customWidth="1"/>
  </cols>
  <sheetData>
    <row r="1" spans="1:11" ht="27" thickBot="1">
      <c r="A1" s="43" t="s">
        <v>11</v>
      </c>
      <c r="B1" s="43"/>
      <c r="C1" s="43"/>
      <c r="D1" s="43"/>
      <c r="E1" s="43"/>
      <c r="F1" s="43"/>
      <c r="G1" s="43"/>
      <c r="H1" s="43"/>
      <c r="I1" s="43"/>
    </row>
    <row r="2" spans="1:11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11" outlineLevel="1">
      <c r="A3" s="7">
        <v>42857</v>
      </c>
      <c r="B3" s="8" t="s">
        <v>73</v>
      </c>
      <c r="C3" s="8">
        <v>1</v>
      </c>
      <c r="D3" s="8">
        <v>112.7</v>
      </c>
      <c r="E3" s="9">
        <v>4</v>
      </c>
      <c r="F3" s="9">
        <v>39</v>
      </c>
      <c r="G3" s="8">
        <f>SUM(E3*60+F3)</f>
        <v>279</v>
      </c>
      <c r="H3" s="10">
        <f>SUM(D3/G3*60)</f>
        <v>24.236559139784948</v>
      </c>
      <c r="I3" s="8"/>
    </row>
    <row r="4" spans="1:11" outlineLevel="1">
      <c r="A4" s="5">
        <v>42859</v>
      </c>
      <c r="B4" s="3" t="s">
        <v>74</v>
      </c>
      <c r="C4" s="8">
        <v>2</v>
      </c>
      <c r="D4" s="3">
        <v>94</v>
      </c>
      <c r="E4" s="6">
        <v>3</v>
      </c>
      <c r="F4" s="6">
        <v>46</v>
      </c>
      <c r="G4" s="3">
        <f t="shared" ref="G4:G23" si="0">SUM(E4*60+F4)</f>
        <v>226</v>
      </c>
      <c r="H4" s="4">
        <f t="shared" ref="H4:H23" si="1">SUM(D4/G4*60)</f>
        <v>24.955752212389378</v>
      </c>
      <c r="I4" s="3" t="s">
        <v>75</v>
      </c>
    </row>
    <row r="5" spans="1:11" outlineLevel="1">
      <c r="A5" s="16">
        <v>42864</v>
      </c>
      <c r="B5" t="s">
        <v>76</v>
      </c>
      <c r="C5" s="17">
        <v>3</v>
      </c>
      <c r="D5" s="15">
        <v>117.4</v>
      </c>
      <c r="E5" s="18">
        <v>4</v>
      </c>
      <c r="F5" s="18">
        <v>38</v>
      </c>
      <c r="G5" s="15">
        <f t="shared" si="0"/>
        <v>278</v>
      </c>
      <c r="H5" s="19">
        <f t="shared" si="1"/>
        <v>25.338129496402878</v>
      </c>
      <c r="I5" s="15"/>
    </row>
    <row r="6" spans="1:11" outlineLevel="1">
      <c r="A6" s="16">
        <v>42868</v>
      </c>
      <c r="B6" s="15" t="s">
        <v>77</v>
      </c>
      <c r="C6" s="17">
        <v>4</v>
      </c>
      <c r="D6" s="15">
        <v>304</v>
      </c>
      <c r="E6" s="18">
        <v>11</v>
      </c>
      <c r="F6" s="18">
        <v>49</v>
      </c>
      <c r="G6" s="15">
        <f t="shared" si="0"/>
        <v>709</v>
      </c>
      <c r="H6" s="19">
        <f t="shared" si="1"/>
        <v>25.726375176304654</v>
      </c>
      <c r="I6" s="15"/>
    </row>
    <row r="7" spans="1:11" outlineLevel="1">
      <c r="A7" s="16">
        <v>42871</v>
      </c>
      <c r="B7" s="15" t="s">
        <v>78</v>
      </c>
      <c r="C7" s="17">
        <v>5</v>
      </c>
      <c r="D7" s="15">
        <v>95</v>
      </c>
      <c r="E7" s="18">
        <v>3</v>
      </c>
      <c r="F7" s="18">
        <v>57</v>
      </c>
      <c r="G7" s="15">
        <f t="shared" si="0"/>
        <v>237</v>
      </c>
      <c r="H7" s="19">
        <f t="shared" si="1"/>
        <v>24.050632911392405</v>
      </c>
      <c r="I7" s="15"/>
    </row>
    <row r="8" spans="1:11" outlineLevel="1">
      <c r="A8" s="16">
        <v>42875</v>
      </c>
      <c r="B8" s="15" t="s">
        <v>79</v>
      </c>
      <c r="C8" s="17">
        <v>6</v>
      </c>
      <c r="D8" s="15">
        <v>86</v>
      </c>
      <c r="E8" s="18">
        <v>3</v>
      </c>
      <c r="F8" s="18">
        <v>37</v>
      </c>
      <c r="G8" s="15">
        <f t="shared" si="0"/>
        <v>217</v>
      </c>
      <c r="H8" s="19">
        <f t="shared" si="1"/>
        <v>23.778801843317972</v>
      </c>
      <c r="I8" s="15"/>
    </row>
    <row r="9" spans="1:11" outlineLevel="1">
      <c r="A9" s="16">
        <v>42877</v>
      </c>
      <c r="B9" s="15" t="s">
        <v>81</v>
      </c>
      <c r="C9" s="17">
        <v>7</v>
      </c>
      <c r="D9" s="15">
        <v>55</v>
      </c>
      <c r="E9" s="18">
        <v>2</v>
      </c>
      <c r="F9" s="18">
        <v>35</v>
      </c>
      <c r="G9" s="15">
        <f t="shared" si="0"/>
        <v>155</v>
      </c>
      <c r="H9" s="19">
        <f t="shared" si="1"/>
        <v>21.290322580645164</v>
      </c>
      <c r="I9" s="15" t="s">
        <v>80</v>
      </c>
      <c r="K9" s="23"/>
    </row>
    <row r="10" spans="1:11" outlineLevel="1">
      <c r="A10" s="16">
        <v>42878</v>
      </c>
      <c r="B10" s="15" t="s">
        <v>83</v>
      </c>
      <c r="C10" s="17">
        <v>8</v>
      </c>
      <c r="D10" s="15">
        <v>59</v>
      </c>
      <c r="E10" s="18">
        <v>2</v>
      </c>
      <c r="F10" s="18">
        <v>50</v>
      </c>
      <c r="G10" s="15">
        <f t="shared" si="0"/>
        <v>170</v>
      </c>
      <c r="H10" s="19">
        <f t="shared" si="1"/>
        <v>20.823529411764707</v>
      </c>
      <c r="I10" s="15" t="s">
        <v>82</v>
      </c>
    </row>
    <row r="11" spans="1:11" outlineLevel="1">
      <c r="A11" s="16">
        <v>42879</v>
      </c>
      <c r="B11" s="15" t="s">
        <v>84</v>
      </c>
      <c r="C11" s="17">
        <v>9</v>
      </c>
      <c r="D11" s="15">
        <v>60</v>
      </c>
      <c r="E11" s="18">
        <v>2</v>
      </c>
      <c r="F11" s="18">
        <v>55</v>
      </c>
      <c r="G11" s="15">
        <f t="shared" si="0"/>
        <v>175</v>
      </c>
      <c r="H11" s="19">
        <f t="shared" si="1"/>
        <v>20.571428571428573</v>
      </c>
      <c r="I11" s="15" t="s">
        <v>85</v>
      </c>
    </row>
    <row r="12" spans="1:11" outlineLevel="1">
      <c r="A12" s="16">
        <v>42879</v>
      </c>
      <c r="B12" s="15" t="s">
        <v>86</v>
      </c>
      <c r="C12" s="17">
        <v>10</v>
      </c>
      <c r="D12" s="15">
        <v>35</v>
      </c>
      <c r="E12" s="18">
        <v>1</v>
      </c>
      <c r="F12" s="18">
        <v>50</v>
      </c>
      <c r="G12" s="15">
        <f t="shared" si="0"/>
        <v>110</v>
      </c>
      <c r="H12" s="19">
        <f t="shared" si="1"/>
        <v>19.09090909090909</v>
      </c>
      <c r="I12" s="15" t="s">
        <v>87</v>
      </c>
    </row>
    <row r="13" spans="1:11" outlineLevel="1">
      <c r="A13" s="5">
        <v>42880</v>
      </c>
      <c r="B13" s="3" t="s">
        <v>88</v>
      </c>
      <c r="C13" s="8">
        <v>11</v>
      </c>
      <c r="D13" s="3">
        <v>53</v>
      </c>
      <c r="E13" s="6">
        <v>2</v>
      </c>
      <c r="F13" s="6">
        <v>35</v>
      </c>
      <c r="G13" s="3">
        <f t="shared" si="0"/>
        <v>155</v>
      </c>
      <c r="H13" s="4">
        <f t="shared" si="1"/>
        <v>20.516129032258064</v>
      </c>
      <c r="I13" s="15" t="s">
        <v>89</v>
      </c>
    </row>
    <row r="14" spans="1:11" outlineLevel="1">
      <c r="A14" s="5">
        <v>42881</v>
      </c>
      <c r="B14" s="3" t="s">
        <v>90</v>
      </c>
      <c r="C14" s="8">
        <v>12</v>
      </c>
      <c r="D14" s="3">
        <v>59</v>
      </c>
      <c r="E14" s="6">
        <v>2</v>
      </c>
      <c r="F14" s="6">
        <v>45</v>
      </c>
      <c r="G14" s="3">
        <f t="shared" si="0"/>
        <v>165</v>
      </c>
      <c r="H14" s="4">
        <f t="shared" si="1"/>
        <v>21.454545454545457</v>
      </c>
      <c r="I14" s="15" t="s">
        <v>85</v>
      </c>
    </row>
    <row r="15" spans="1:11" outlineLevel="1">
      <c r="A15" s="27">
        <v>42883</v>
      </c>
      <c r="B15" s="28" t="s">
        <v>91</v>
      </c>
      <c r="C15" s="29">
        <v>13</v>
      </c>
      <c r="D15" s="28">
        <v>160</v>
      </c>
      <c r="E15" s="30">
        <v>7</v>
      </c>
      <c r="F15" s="30">
        <v>11</v>
      </c>
      <c r="G15" s="28">
        <f t="shared" si="0"/>
        <v>431</v>
      </c>
      <c r="H15" s="31">
        <f t="shared" si="1"/>
        <v>22.273781902552201</v>
      </c>
      <c r="I15" s="28" t="s">
        <v>92</v>
      </c>
    </row>
    <row r="16" spans="1:11" outlineLevel="1">
      <c r="A16" s="5">
        <v>42884</v>
      </c>
      <c r="B16" s="3" t="s">
        <v>93</v>
      </c>
      <c r="C16" s="8">
        <v>14</v>
      </c>
      <c r="D16" s="3">
        <v>35</v>
      </c>
      <c r="E16" s="6">
        <v>1</v>
      </c>
      <c r="F16" s="6">
        <v>55</v>
      </c>
      <c r="G16" s="3">
        <f t="shared" si="0"/>
        <v>115</v>
      </c>
      <c r="H16" s="4">
        <f t="shared" si="1"/>
        <v>18.260869565217391</v>
      </c>
      <c r="I16" s="15" t="s">
        <v>94</v>
      </c>
    </row>
    <row r="17" spans="1:9" outlineLevel="1">
      <c r="A17" s="5">
        <v>42885</v>
      </c>
      <c r="B17" s="3" t="s">
        <v>95</v>
      </c>
      <c r="C17" s="8">
        <v>15</v>
      </c>
      <c r="D17" s="3">
        <v>57</v>
      </c>
      <c r="E17" s="6">
        <v>2</v>
      </c>
      <c r="F17" s="6">
        <v>37</v>
      </c>
      <c r="G17" s="3">
        <f t="shared" si="0"/>
        <v>157</v>
      </c>
      <c r="H17" s="4">
        <f t="shared" si="1"/>
        <v>21.783439490445858</v>
      </c>
      <c r="I17" s="15" t="s">
        <v>89</v>
      </c>
    </row>
    <row r="18" spans="1:9" outlineLevel="1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 outlineLevel="1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 outlineLevel="1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 outlineLevel="1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 outlineLevel="1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 outlineLevel="1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1382.1</v>
      </c>
    </row>
    <row r="25" spans="1:9">
      <c r="B25">
        <f>SUM(Avr!B25+Mai!D24)</f>
        <v>5450.7999999999993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M15" sqref="M15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209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7">
        <v>42887</v>
      </c>
      <c r="B3" s="8" t="s">
        <v>96</v>
      </c>
      <c r="C3" s="8">
        <v>1</v>
      </c>
      <c r="D3" s="8">
        <v>72</v>
      </c>
      <c r="E3" s="9">
        <v>3</v>
      </c>
      <c r="F3" s="9">
        <v>20</v>
      </c>
      <c r="G3" s="8">
        <f>SUM(E3*60+F3)</f>
        <v>200</v>
      </c>
      <c r="H3" s="10">
        <f>SUM(D3/G3*60)</f>
        <v>21.599999999999998</v>
      </c>
      <c r="I3" s="15" t="s">
        <v>97</v>
      </c>
    </row>
    <row r="4" spans="1:9">
      <c r="A4" s="5">
        <v>42888</v>
      </c>
      <c r="B4" s="3" t="s">
        <v>98</v>
      </c>
      <c r="C4" s="8">
        <v>2</v>
      </c>
      <c r="D4" s="3">
        <v>64</v>
      </c>
      <c r="E4" s="6">
        <v>2</v>
      </c>
      <c r="F4" s="6">
        <v>55</v>
      </c>
      <c r="G4" s="8">
        <f t="shared" ref="G4:G20" si="0">SUM(E4*60+F4)</f>
        <v>175</v>
      </c>
      <c r="H4" s="4">
        <f t="shared" ref="H4:H23" si="1">SUM(D4/G4*60)</f>
        <v>21.942857142857143</v>
      </c>
      <c r="I4" s="15" t="s">
        <v>99</v>
      </c>
    </row>
    <row r="5" spans="1:9">
      <c r="A5" s="5">
        <v>42889</v>
      </c>
      <c r="B5" s="3" t="s">
        <v>100</v>
      </c>
      <c r="C5" s="8">
        <v>3</v>
      </c>
      <c r="D5" s="3">
        <v>40</v>
      </c>
      <c r="E5" s="6">
        <v>1</v>
      </c>
      <c r="F5" s="6">
        <v>45</v>
      </c>
      <c r="G5" s="8">
        <f t="shared" si="0"/>
        <v>105</v>
      </c>
      <c r="H5" s="4">
        <f t="shared" si="1"/>
        <v>22.857142857142854</v>
      </c>
      <c r="I5" s="15" t="s">
        <v>101</v>
      </c>
    </row>
    <row r="6" spans="1:9">
      <c r="A6" s="16">
        <v>42891</v>
      </c>
      <c r="B6" s="15" t="s">
        <v>102</v>
      </c>
      <c r="C6" s="17">
        <v>4</v>
      </c>
      <c r="D6" s="15">
        <v>70</v>
      </c>
      <c r="E6" s="18">
        <v>3</v>
      </c>
      <c r="F6" s="18">
        <v>10</v>
      </c>
      <c r="G6" s="8">
        <f t="shared" si="0"/>
        <v>190</v>
      </c>
      <c r="H6" s="19">
        <f t="shared" si="1"/>
        <v>22.105263157894736</v>
      </c>
      <c r="I6" s="15" t="s">
        <v>97</v>
      </c>
    </row>
    <row r="7" spans="1:9">
      <c r="A7" s="16">
        <v>42893</v>
      </c>
      <c r="B7" s="15" t="s">
        <v>103</v>
      </c>
      <c r="C7" s="17">
        <v>5</v>
      </c>
      <c r="D7" s="15">
        <v>65</v>
      </c>
      <c r="E7" s="18">
        <v>3</v>
      </c>
      <c r="F7" s="18">
        <v>1</v>
      </c>
      <c r="G7" s="8">
        <f t="shared" si="0"/>
        <v>181</v>
      </c>
      <c r="H7" s="19">
        <f t="shared" si="1"/>
        <v>21.546961325966851</v>
      </c>
      <c r="I7" s="15" t="s">
        <v>104</v>
      </c>
    </row>
    <row r="8" spans="1:9">
      <c r="A8" s="16">
        <v>42893</v>
      </c>
      <c r="B8" s="15" t="s">
        <v>100</v>
      </c>
      <c r="C8" s="17">
        <v>6</v>
      </c>
      <c r="D8" s="15">
        <v>36</v>
      </c>
      <c r="E8" s="18">
        <v>1</v>
      </c>
      <c r="F8" s="18">
        <v>57</v>
      </c>
      <c r="G8" s="8">
        <f t="shared" si="0"/>
        <v>117</v>
      </c>
      <c r="H8" s="19">
        <f t="shared" si="1"/>
        <v>18.461538461538463</v>
      </c>
      <c r="I8" s="15" t="s">
        <v>105</v>
      </c>
    </row>
    <row r="9" spans="1:9">
      <c r="A9" s="16">
        <v>42894</v>
      </c>
      <c r="B9" s="15" t="s">
        <v>106</v>
      </c>
      <c r="C9" s="17">
        <v>7</v>
      </c>
      <c r="D9" s="15">
        <v>72</v>
      </c>
      <c r="E9" s="18">
        <v>3</v>
      </c>
      <c r="F9" s="18">
        <v>15</v>
      </c>
      <c r="G9" s="8">
        <f t="shared" si="0"/>
        <v>195</v>
      </c>
      <c r="H9" s="19">
        <f t="shared" si="1"/>
        <v>22.153846153846153</v>
      </c>
      <c r="I9" s="15" t="s">
        <v>107</v>
      </c>
    </row>
    <row r="10" spans="1:9">
      <c r="A10" s="16">
        <v>42895</v>
      </c>
      <c r="B10" s="15" t="s">
        <v>108</v>
      </c>
      <c r="C10" s="17">
        <v>8</v>
      </c>
      <c r="D10" s="15">
        <v>53</v>
      </c>
      <c r="E10" s="18">
        <v>2</v>
      </c>
      <c r="F10" s="18">
        <v>25</v>
      </c>
      <c r="G10" s="8">
        <f t="shared" si="0"/>
        <v>145</v>
      </c>
      <c r="H10" s="19">
        <f t="shared" si="1"/>
        <v>21.931034482758623</v>
      </c>
      <c r="I10" s="15" t="s">
        <v>109</v>
      </c>
    </row>
    <row r="11" spans="1:9">
      <c r="A11" s="16">
        <v>42896</v>
      </c>
      <c r="B11" s="15" t="s">
        <v>110</v>
      </c>
      <c r="C11" s="17">
        <v>9</v>
      </c>
      <c r="D11" s="15">
        <v>54</v>
      </c>
      <c r="E11" s="18">
        <v>2</v>
      </c>
      <c r="F11" s="18">
        <v>26</v>
      </c>
      <c r="G11" s="8">
        <f t="shared" si="0"/>
        <v>146</v>
      </c>
      <c r="H11" s="19">
        <f t="shared" si="1"/>
        <v>22.191780821917806</v>
      </c>
      <c r="I11" s="15" t="s">
        <v>111</v>
      </c>
    </row>
    <row r="12" spans="1:9">
      <c r="A12" s="16">
        <v>42897</v>
      </c>
      <c r="B12" s="15" t="s">
        <v>112</v>
      </c>
      <c r="C12" s="17">
        <v>10</v>
      </c>
      <c r="D12" s="15">
        <v>42</v>
      </c>
      <c r="E12" s="18">
        <v>2</v>
      </c>
      <c r="F12" s="18">
        <v>10</v>
      </c>
      <c r="G12" s="8">
        <f t="shared" si="0"/>
        <v>130</v>
      </c>
      <c r="H12" s="19">
        <f t="shared" si="1"/>
        <v>19.384615384615387</v>
      </c>
      <c r="I12" s="15" t="s">
        <v>113</v>
      </c>
    </row>
    <row r="13" spans="1:9">
      <c r="A13" s="16">
        <v>42899</v>
      </c>
      <c r="B13" s="15" t="s">
        <v>114</v>
      </c>
      <c r="C13" s="17">
        <v>11</v>
      </c>
      <c r="D13" s="15">
        <v>100</v>
      </c>
      <c r="E13" s="18">
        <v>4</v>
      </c>
      <c r="F13" s="18"/>
      <c r="G13" s="8">
        <f t="shared" si="0"/>
        <v>240</v>
      </c>
      <c r="H13" s="19">
        <f t="shared" si="1"/>
        <v>25</v>
      </c>
      <c r="I13" s="15"/>
    </row>
    <row r="14" spans="1:9">
      <c r="A14" s="16">
        <v>42901</v>
      </c>
      <c r="B14" s="15" t="s">
        <v>115</v>
      </c>
      <c r="C14" s="17">
        <v>12</v>
      </c>
      <c r="D14" s="15">
        <v>93</v>
      </c>
      <c r="E14" s="18">
        <v>3</v>
      </c>
      <c r="F14" s="18">
        <v>43</v>
      </c>
      <c r="G14" s="8">
        <f t="shared" si="0"/>
        <v>223</v>
      </c>
      <c r="H14" s="19">
        <f t="shared" si="1"/>
        <v>25.022421524663677</v>
      </c>
      <c r="I14" s="15"/>
    </row>
    <row r="15" spans="1:9">
      <c r="A15" s="16">
        <v>42902</v>
      </c>
      <c r="B15" s="15" t="s">
        <v>116</v>
      </c>
      <c r="C15" s="17">
        <v>13</v>
      </c>
      <c r="D15" s="15">
        <v>28</v>
      </c>
      <c r="E15" s="18">
        <v>1</v>
      </c>
      <c r="F15" s="18">
        <v>23</v>
      </c>
      <c r="G15" s="8">
        <f t="shared" si="0"/>
        <v>83</v>
      </c>
      <c r="H15" s="19">
        <f t="shared" si="1"/>
        <v>20.240963855421686</v>
      </c>
      <c r="I15" s="15" t="s">
        <v>113</v>
      </c>
    </row>
    <row r="16" spans="1:9">
      <c r="A16" s="16">
        <v>42903</v>
      </c>
      <c r="B16" s="15" t="s">
        <v>117</v>
      </c>
      <c r="C16" s="17">
        <v>14</v>
      </c>
      <c r="D16" s="15">
        <v>81</v>
      </c>
      <c r="E16" s="18">
        <v>3</v>
      </c>
      <c r="F16" s="18">
        <v>10</v>
      </c>
      <c r="G16" s="8">
        <f t="shared" si="0"/>
        <v>190</v>
      </c>
      <c r="H16" s="19">
        <f t="shared" si="1"/>
        <v>25.578947368421051</v>
      </c>
      <c r="I16" s="15"/>
    </row>
    <row r="17" spans="1:9">
      <c r="A17" s="16">
        <v>42905</v>
      </c>
      <c r="B17" s="15" t="s">
        <v>118</v>
      </c>
      <c r="C17" s="17">
        <v>15</v>
      </c>
      <c r="D17" s="15">
        <v>38</v>
      </c>
      <c r="E17" s="18">
        <v>2</v>
      </c>
      <c r="F17" s="18">
        <v>5</v>
      </c>
      <c r="G17" s="8">
        <f t="shared" si="0"/>
        <v>125</v>
      </c>
      <c r="H17" s="19">
        <f t="shared" si="1"/>
        <v>18.239999999999998</v>
      </c>
      <c r="I17" s="15"/>
    </row>
    <row r="18" spans="1:9">
      <c r="A18" s="5">
        <v>42906</v>
      </c>
      <c r="B18" s="15" t="s">
        <v>118</v>
      </c>
      <c r="C18" s="8">
        <v>16</v>
      </c>
      <c r="D18" s="3">
        <v>88</v>
      </c>
      <c r="E18" s="6">
        <v>4</v>
      </c>
      <c r="F18" s="6">
        <v>45</v>
      </c>
      <c r="G18" s="8">
        <f t="shared" si="0"/>
        <v>285</v>
      </c>
      <c r="H18" s="4">
        <f t="shared" si="1"/>
        <v>18.526315789473685</v>
      </c>
      <c r="I18" s="3"/>
    </row>
    <row r="19" spans="1:9">
      <c r="A19" s="5">
        <v>42907</v>
      </c>
      <c r="B19" s="15" t="s">
        <v>118</v>
      </c>
      <c r="C19" s="8">
        <v>17</v>
      </c>
      <c r="D19" s="3">
        <v>140</v>
      </c>
      <c r="E19" s="6">
        <v>7</v>
      </c>
      <c r="F19" s="6">
        <v>0</v>
      </c>
      <c r="G19" s="8">
        <f t="shared" si="0"/>
        <v>420</v>
      </c>
      <c r="H19" s="4">
        <f t="shared" si="1"/>
        <v>20</v>
      </c>
      <c r="I19" s="3"/>
    </row>
    <row r="20" spans="1:9">
      <c r="A20" s="5">
        <v>42908</v>
      </c>
      <c r="B20" s="15" t="s">
        <v>118</v>
      </c>
      <c r="C20" s="8">
        <v>18</v>
      </c>
      <c r="D20" s="3">
        <v>40</v>
      </c>
      <c r="E20" s="6">
        <v>1</v>
      </c>
      <c r="F20" s="6">
        <v>52</v>
      </c>
      <c r="G20" s="8">
        <f t="shared" si="0"/>
        <v>112</v>
      </c>
      <c r="H20" s="4">
        <f t="shared" si="1"/>
        <v>21.428571428571431</v>
      </c>
      <c r="I20" s="3"/>
    </row>
    <row r="21" spans="1:9">
      <c r="A21" s="5">
        <v>42913</v>
      </c>
      <c r="B21" s="3" t="s">
        <v>119</v>
      </c>
      <c r="C21" s="8">
        <v>19</v>
      </c>
      <c r="D21" s="3">
        <v>90</v>
      </c>
      <c r="E21" s="6">
        <v>3</v>
      </c>
      <c r="F21" s="6">
        <v>36</v>
      </c>
      <c r="G21" s="3">
        <f t="shared" ref="G21:G23" si="2">SUM(E21*60+F21)</f>
        <v>216</v>
      </c>
      <c r="H21" s="4">
        <f t="shared" si="1"/>
        <v>25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2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2"/>
        <v>0</v>
      </c>
      <c r="H23" s="4" t="e">
        <f t="shared" si="1"/>
        <v>#DIV/0!</v>
      </c>
      <c r="I23" s="3"/>
    </row>
    <row r="24" spans="1:9">
      <c r="D24">
        <f>SUM(D3:D23)</f>
        <v>1266</v>
      </c>
    </row>
    <row r="25" spans="1:9">
      <c r="B25">
        <f>SUM(Mai!B25+Juin!D24)</f>
        <v>6716.7999999999993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I22" sqref="I2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12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20">
        <v>42917</v>
      </c>
      <c r="B3" s="17" t="s">
        <v>120</v>
      </c>
      <c r="C3" s="17">
        <v>1</v>
      </c>
      <c r="D3" s="17">
        <v>88</v>
      </c>
      <c r="E3" s="21">
        <v>3</v>
      </c>
      <c r="F3" s="21">
        <v>12</v>
      </c>
      <c r="G3" s="17">
        <f>SUM(E3*60+F3)</f>
        <v>192</v>
      </c>
      <c r="H3" s="22">
        <f>SUM(D3/G3*60)</f>
        <v>27.5</v>
      </c>
      <c r="I3" s="17"/>
    </row>
    <row r="4" spans="1:9">
      <c r="A4" s="16">
        <v>42919</v>
      </c>
      <c r="B4" s="15" t="s">
        <v>122</v>
      </c>
      <c r="C4" s="17">
        <v>2</v>
      </c>
      <c r="D4" s="15">
        <v>62</v>
      </c>
      <c r="E4" s="18">
        <v>3</v>
      </c>
      <c r="F4" s="18">
        <v>20</v>
      </c>
      <c r="G4" s="15">
        <f t="shared" ref="G4:G23" si="0">SUM(E4*60+F4)</f>
        <v>200</v>
      </c>
      <c r="H4" s="19">
        <f t="shared" ref="H4:H23" si="1">SUM(D4/G4*60)</f>
        <v>18.600000000000001</v>
      </c>
      <c r="I4" s="15" t="s">
        <v>121</v>
      </c>
    </row>
    <row r="5" spans="1:9">
      <c r="A5" s="16">
        <v>42920</v>
      </c>
      <c r="B5" s="15" t="s">
        <v>123</v>
      </c>
      <c r="C5" s="17">
        <v>3</v>
      </c>
      <c r="D5" s="15">
        <v>155</v>
      </c>
      <c r="E5" s="18">
        <v>6</v>
      </c>
      <c r="F5" s="18">
        <v>32</v>
      </c>
      <c r="G5" s="15">
        <f t="shared" si="0"/>
        <v>392</v>
      </c>
      <c r="H5" s="19">
        <f t="shared" si="1"/>
        <v>23.72448979591837</v>
      </c>
      <c r="I5" s="15"/>
    </row>
    <row r="6" spans="1:9">
      <c r="A6" s="16">
        <v>42921</v>
      </c>
      <c r="B6" s="15" t="s">
        <v>124</v>
      </c>
      <c r="C6" s="17">
        <v>4</v>
      </c>
      <c r="D6" s="15">
        <v>61</v>
      </c>
      <c r="E6" s="18">
        <v>3</v>
      </c>
      <c r="F6" s="18">
        <v>9</v>
      </c>
      <c r="G6" s="15">
        <f t="shared" si="0"/>
        <v>189</v>
      </c>
      <c r="H6" s="19">
        <f t="shared" si="1"/>
        <v>19.365079365079364</v>
      </c>
      <c r="I6" s="15" t="s">
        <v>121</v>
      </c>
    </row>
    <row r="7" spans="1:9">
      <c r="A7" s="16">
        <v>42927</v>
      </c>
      <c r="B7" s="15" t="s">
        <v>125</v>
      </c>
      <c r="C7" s="17">
        <v>5</v>
      </c>
      <c r="D7" s="15">
        <v>147</v>
      </c>
      <c r="E7" s="18">
        <v>6</v>
      </c>
      <c r="F7" s="18">
        <v>1</v>
      </c>
      <c r="G7" s="15">
        <f t="shared" si="0"/>
        <v>361</v>
      </c>
      <c r="H7" s="19">
        <f t="shared" si="1"/>
        <v>24.43213296398892</v>
      </c>
      <c r="I7" s="15"/>
    </row>
    <row r="8" spans="1:9">
      <c r="A8" s="16">
        <v>42931</v>
      </c>
      <c r="B8" s="15" t="s">
        <v>126</v>
      </c>
      <c r="C8" s="17">
        <v>7</v>
      </c>
      <c r="D8" s="15">
        <v>85</v>
      </c>
      <c r="E8" s="18">
        <v>3</v>
      </c>
      <c r="F8" s="18">
        <v>30</v>
      </c>
      <c r="G8" s="15">
        <f t="shared" ref="G8:G22" si="2">SUM(E8*60+F8)</f>
        <v>210</v>
      </c>
      <c r="H8" s="19">
        <f t="shared" ref="H8:H22" si="3">SUM(D8/G8*60)</f>
        <v>24.285714285714285</v>
      </c>
      <c r="I8" s="15"/>
    </row>
    <row r="9" spans="1:9">
      <c r="A9" s="16">
        <v>42932</v>
      </c>
      <c r="B9" s="15" t="s">
        <v>127</v>
      </c>
      <c r="C9" s="17">
        <v>8</v>
      </c>
      <c r="D9" s="15">
        <v>61.5</v>
      </c>
      <c r="E9" s="18">
        <v>3</v>
      </c>
      <c r="F9" s="18">
        <v>0</v>
      </c>
      <c r="G9" s="15">
        <f t="shared" si="2"/>
        <v>180</v>
      </c>
      <c r="H9" s="19">
        <f t="shared" si="3"/>
        <v>20.5</v>
      </c>
      <c r="I9" s="15"/>
    </row>
    <row r="10" spans="1:9">
      <c r="A10" s="16">
        <v>42934</v>
      </c>
      <c r="B10" s="15" t="s">
        <v>128</v>
      </c>
      <c r="C10" s="17">
        <v>9</v>
      </c>
      <c r="D10" s="15">
        <v>81.5</v>
      </c>
      <c r="E10" s="18">
        <v>3</v>
      </c>
      <c r="F10" s="18">
        <v>26</v>
      </c>
      <c r="G10" s="15">
        <f t="shared" si="2"/>
        <v>206</v>
      </c>
      <c r="H10" s="19">
        <f t="shared" si="3"/>
        <v>23.737864077669901</v>
      </c>
      <c r="I10" s="15"/>
    </row>
    <row r="11" spans="1:9">
      <c r="A11" s="16">
        <v>42936</v>
      </c>
      <c r="B11" s="15" t="s">
        <v>129</v>
      </c>
      <c r="C11" s="17">
        <v>10</v>
      </c>
      <c r="D11" s="15">
        <v>101</v>
      </c>
      <c r="E11" s="18">
        <v>4</v>
      </c>
      <c r="F11" s="18">
        <v>2</v>
      </c>
      <c r="G11" s="15">
        <f t="shared" si="2"/>
        <v>242</v>
      </c>
      <c r="H11" s="19">
        <f t="shared" si="3"/>
        <v>25.041322314049587</v>
      </c>
      <c r="I11" s="15"/>
    </row>
    <row r="12" spans="1:9">
      <c r="A12" s="32">
        <v>42937</v>
      </c>
      <c r="B12" s="33" t="s">
        <v>130</v>
      </c>
      <c r="C12" s="34">
        <v>11</v>
      </c>
      <c r="D12" s="33">
        <v>31</v>
      </c>
      <c r="E12" s="35">
        <v>1</v>
      </c>
      <c r="F12" s="35">
        <v>53</v>
      </c>
      <c r="G12" s="33">
        <f t="shared" si="2"/>
        <v>113</v>
      </c>
      <c r="H12" s="36">
        <f t="shared" si="3"/>
        <v>16.460176991150441</v>
      </c>
      <c r="I12" s="33" t="s">
        <v>131</v>
      </c>
    </row>
    <row r="13" spans="1:9">
      <c r="A13" s="32">
        <v>42938</v>
      </c>
      <c r="B13" s="33" t="s">
        <v>132</v>
      </c>
      <c r="C13" s="34">
        <v>12</v>
      </c>
      <c r="D13" s="33">
        <v>55</v>
      </c>
      <c r="E13" s="35">
        <v>3</v>
      </c>
      <c r="F13" s="35">
        <v>26</v>
      </c>
      <c r="G13" s="33">
        <f t="shared" si="2"/>
        <v>206</v>
      </c>
      <c r="H13" s="36">
        <f t="shared" si="3"/>
        <v>16.019417475728154</v>
      </c>
      <c r="I13" s="33" t="s">
        <v>131</v>
      </c>
    </row>
    <row r="14" spans="1:9">
      <c r="A14" s="32">
        <v>42939</v>
      </c>
      <c r="B14" s="33" t="s">
        <v>133</v>
      </c>
      <c r="C14" s="34">
        <v>13</v>
      </c>
      <c r="D14" s="33">
        <v>66</v>
      </c>
      <c r="E14" s="35">
        <v>3</v>
      </c>
      <c r="F14" s="35">
        <v>56</v>
      </c>
      <c r="G14" s="33">
        <f t="shared" si="2"/>
        <v>236</v>
      </c>
      <c r="H14" s="36">
        <f t="shared" si="3"/>
        <v>16.779661016949152</v>
      </c>
      <c r="I14" s="33" t="s">
        <v>131</v>
      </c>
    </row>
    <row r="15" spans="1:9">
      <c r="A15" s="32">
        <v>42940</v>
      </c>
      <c r="B15" s="33" t="s">
        <v>134</v>
      </c>
      <c r="C15" s="34">
        <v>14</v>
      </c>
      <c r="D15" s="33">
        <v>58</v>
      </c>
      <c r="E15" s="35">
        <v>3</v>
      </c>
      <c r="F15" s="35">
        <v>50</v>
      </c>
      <c r="G15" s="33">
        <f t="shared" si="2"/>
        <v>230</v>
      </c>
      <c r="H15" s="36">
        <f t="shared" si="3"/>
        <v>15.130434782608695</v>
      </c>
      <c r="I15" s="33" t="s">
        <v>131</v>
      </c>
    </row>
    <row r="16" spans="1:9">
      <c r="A16" s="32">
        <v>42941</v>
      </c>
      <c r="B16" s="33" t="s">
        <v>135</v>
      </c>
      <c r="C16" s="34">
        <v>15</v>
      </c>
      <c r="D16" s="33">
        <v>31</v>
      </c>
      <c r="E16" s="35">
        <v>2</v>
      </c>
      <c r="F16" s="35">
        <v>10</v>
      </c>
      <c r="G16" s="33">
        <f t="shared" si="2"/>
        <v>130</v>
      </c>
      <c r="H16" s="36">
        <f t="shared" si="3"/>
        <v>14.307692307692308</v>
      </c>
      <c r="I16" s="33" t="s">
        <v>131</v>
      </c>
    </row>
    <row r="17" spans="1:9">
      <c r="A17" s="32">
        <v>42942</v>
      </c>
      <c r="B17" s="33" t="s">
        <v>136</v>
      </c>
      <c r="C17" s="34">
        <v>16</v>
      </c>
      <c r="D17" s="33">
        <v>61</v>
      </c>
      <c r="E17" s="35">
        <v>4</v>
      </c>
      <c r="F17" s="35">
        <v>9</v>
      </c>
      <c r="G17" s="33">
        <f t="shared" si="2"/>
        <v>249</v>
      </c>
      <c r="H17" s="36">
        <f t="shared" si="3"/>
        <v>14.698795180722891</v>
      </c>
      <c r="I17" s="33" t="s">
        <v>131</v>
      </c>
    </row>
    <row r="18" spans="1:9">
      <c r="A18" s="32">
        <v>42943</v>
      </c>
      <c r="B18" s="33" t="s">
        <v>137</v>
      </c>
      <c r="C18" s="34">
        <v>17</v>
      </c>
      <c r="D18" s="33">
        <v>39</v>
      </c>
      <c r="E18" s="35">
        <v>2</v>
      </c>
      <c r="F18" s="35">
        <v>49</v>
      </c>
      <c r="G18" s="33">
        <f t="shared" si="2"/>
        <v>169</v>
      </c>
      <c r="H18" s="36">
        <f t="shared" si="3"/>
        <v>13.846153846153847</v>
      </c>
      <c r="I18" s="33" t="s">
        <v>131</v>
      </c>
    </row>
    <row r="19" spans="1:9">
      <c r="A19" s="32">
        <v>42944</v>
      </c>
      <c r="B19" s="33" t="s">
        <v>138</v>
      </c>
      <c r="C19" s="34">
        <v>18</v>
      </c>
      <c r="D19" s="33">
        <v>59</v>
      </c>
      <c r="E19" s="35">
        <v>4</v>
      </c>
      <c r="F19" s="35">
        <v>0</v>
      </c>
      <c r="G19" s="33">
        <f t="shared" si="2"/>
        <v>240</v>
      </c>
      <c r="H19" s="36">
        <f t="shared" si="3"/>
        <v>14.75</v>
      </c>
      <c r="I19" s="33" t="s">
        <v>131</v>
      </c>
    </row>
    <row r="20" spans="1:9">
      <c r="A20" s="32">
        <v>42945</v>
      </c>
      <c r="B20" s="33" t="s">
        <v>139</v>
      </c>
      <c r="C20" s="34">
        <v>19</v>
      </c>
      <c r="D20" s="33">
        <v>65</v>
      </c>
      <c r="E20" s="35">
        <v>4</v>
      </c>
      <c r="F20" s="35">
        <v>22</v>
      </c>
      <c r="G20" s="33">
        <f t="shared" si="2"/>
        <v>262</v>
      </c>
      <c r="H20" s="36">
        <f t="shared" si="3"/>
        <v>14.885496183206106</v>
      </c>
      <c r="I20" s="33" t="s">
        <v>131</v>
      </c>
    </row>
    <row r="21" spans="1:9">
      <c r="A21" s="32">
        <v>42946</v>
      </c>
      <c r="B21" s="33" t="s">
        <v>140</v>
      </c>
      <c r="C21" s="34">
        <v>20</v>
      </c>
      <c r="D21" s="33">
        <v>39</v>
      </c>
      <c r="E21" s="35">
        <v>2</v>
      </c>
      <c r="F21" s="35">
        <v>17</v>
      </c>
      <c r="G21" s="33">
        <f t="shared" si="2"/>
        <v>137</v>
      </c>
      <c r="H21" s="36">
        <f t="shared" si="3"/>
        <v>17.080291970802918</v>
      </c>
      <c r="I21" s="33" t="s">
        <v>131</v>
      </c>
    </row>
    <row r="22" spans="1:9">
      <c r="A22" s="5">
        <v>42947</v>
      </c>
      <c r="B22" s="3" t="s">
        <v>143</v>
      </c>
      <c r="C22" s="8">
        <v>21</v>
      </c>
      <c r="D22" s="15">
        <v>46</v>
      </c>
      <c r="E22" s="6">
        <v>2</v>
      </c>
      <c r="F22" s="6">
        <v>12</v>
      </c>
      <c r="G22" s="3">
        <f t="shared" si="2"/>
        <v>132</v>
      </c>
      <c r="H22" s="4">
        <f t="shared" si="3"/>
        <v>20.90909090909091</v>
      </c>
      <c r="I22" s="15" t="s">
        <v>121</v>
      </c>
    </row>
    <row r="23" spans="1:9">
      <c r="A23" s="5"/>
      <c r="B23" s="3"/>
      <c r="C23" s="3">
        <v>22</v>
      </c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1392</v>
      </c>
    </row>
    <row r="25" spans="1:9">
      <c r="B25">
        <f>SUM(Juin!B25+Juil!D24)</f>
        <v>8108.7999999999993</v>
      </c>
    </row>
    <row r="26" spans="1:9">
      <c r="B26" s="3"/>
      <c r="D26" s="37" t="s">
        <v>141</v>
      </c>
      <c r="E26" s="38"/>
      <c r="F26" s="37"/>
      <c r="G26" s="37">
        <f>SUM(D12:D21)</f>
        <v>504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F22" sqref="F2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13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20">
        <v>42948</v>
      </c>
      <c r="B3" s="17" t="s">
        <v>142</v>
      </c>
      <c r="C3" s="17">
        <v>1</v>
      </c>
      <c r="D3" s="17">
        <v>98</v>
      </c>
      <c r="E3" s="21">
        <v>3</v>
      </c>
      <c r="F3" s="21">
        <v>57</v>
      </c>
      <c r="G3" s="3">
        <f t="shared" ref="G3:G22" si="0">SUM(E3*60+F3)</f>
        <v>237</v>
      </c>
      <c r="H3" s="22">
        <f>SUM(D3/G3*60)</f>
        <v>24.810126582278482</v>
      </c>
      <c r="I3" s="17"/>
    </row>
    <row r="4" spans="1:9">
      <c r="A4" s="16">
        <v>42950</v>
      </c>
      <c r="B4" s="15" t="s">
        <v>144</v>
      </c>
      <c r="C4" s="17">
        <v>2</v>
      </c>
      <c r="D4" s="15">
        <v>100</v>
      </c>
      <c r="E4" s="18">
        <v>3</v>
      </c>
      <c r="F4" s="18">
        <v>46</v>
      </c>
      <c r="G4" s="3">
        <f t="shared" si="0"/>
        <v>226</v>
      </c>
      <c r="H4" s="19">
        <f t="shared" ref="H4:H24" si="1">SUM(D4/G4*60)</f>
        <v>26.548672566371682</v>
      </c>
      <c r="I4" s="17"/>
    </row>
    <row r="5" spans="1:9">
      <c r="A5" s="16">
        <v>42951</v>
      </c>
      <c r="B5" s="15" t="s">
        <v>145</v>
      </c>
      <c r="C5" s="17">
        <v>3</v>
      </c>
      <c r="D5" s="15">
        <v>40</v>
      </c>
      <c r="E5" s="18">
        <v>1</v>
      </c>
      <c r="F5" s="18">
        <v>52</v>
      </c>
      <c r="G5" s="3">
        <f t="shared" si="0"/>
        <v>112</v>
      </c>
      <c r="H5" s="19">
        <f t="shared" si="1"/>
        <v>21.428571428571431</v>
      </c>
      <c r="I5" s="17" t="s">
        <v>121</v>
      </c>
    </row>
    <row r="6" spans="1:9">
      <c r="A6" s="16">
        <v>42952</v>
      </c>
      <c r="B6" s="15" t="s">
        <v>146</v>
      </c>
      <c r="C6" s="17">
        <v>4</v>
      </c>
      <c r="D6" s="15">
        <v>83</v>
      </c>
      <c r="E6" s="18">
        <v>3</v>
      </c>
      <c r="F6" s="18">
        <v>10</v>
      </c>
      <c r="G6" s="3">
        <f t="shared" si="0"/>
        <v>190</v>
      </c>
      <c r="H6" s="19">
        <f t="shared" si="1"/>
        <v>26.210526315789476</v>
      </c>
      <c r="I6" s="17"/>
    </row>
    <row r="7" spans="1:9">
      <c r="A7" s="16">
        <v>42959</v>
      </c>
      <c r="B7" s="15" t="s">
        <v>147</v>
      </c>
      <c r="C7" s="17">
        <v>5</v>
      </c>
      <c r="D7" s="15">
        <v>83</v>
      </c>
      <c r="E7" s="18">
        <v>3</v>
      </c>
      <c r="F7" s="18">
        <v>37</v>
      </c>
      <c r="G7" s="3">
        <f t="shared" si="0"/>
        <v>217</v>
      </c>
      <c r="H7" s="19">
        <f t="shared" si="1"/>
        <v>22.94930875576037</v>
      </c>
      <c r="I7" s="17"/>
    </row>
    <row r="8" spans="1:9">
      <c r="A8" s="16">
        <v>42964</v>
      </c>
      <c r="B8" s="15" t="s">
        <v>148</v>
      </c>
      <c r="C8" s="17">
        <v>6</v>
      </c>
      <c r="D8" s="15">
        <v>96</v>
      </c>
      <c r="E8" s="18">
        <v>3</v>
      </c>
      <c r="F8" s="18">
        <v>55</v>
      </c>
      <c r="G8" s="3">
        <f t="shared" si="0"/>
        <v>235</v>
      </c>
      <c r="H8" s="19">
        <f t="shared" si="1"/>
        <v>24.51063829787234</v>
      </c>
      <c r="I8" s="17"/>
    </row>
    <row r="9" spans="1:9">
      <c r="A9" s="16">
        <v>42968</v>
      </c>
      <c r="B9" s="15" t="s">
        <v>149</v>
      </c>
      <c r="C9" s="17">
        <v>7</v>
      </c>
      <c r="D9" s="15">
        <v>55</v>
      </c>
      <c r="E9" s="18">
        <v>2</v>
      </c>
      <c r="F9" s="18">
        <v>45</v>
      </c>
      <c r="G9" s="3">
        <f t="shared" si="0"/>
        <v>165</v>
      </c>
      <c r="H9" s="19">
        <f t="shared" si="1"/>
        <v>20</v>
      </c>
      <c r="I9" s="17" t="s">
        <v>121</v>
      </c>
    </row>
    <row r="10" spans="1:9">
      <c r="A10" s="16">
        <v>42969</v>
      </c>
      <c r="B10" s="15" t="s">
        <v>150</v>
      </c>
      <c r="C10" s="17">
        <v>8</v>
      </c>
      <c r="D10" s="15">
        <v>105</v>
      </c>
      <c r="E10" s="18">
        <v>4</v>
      </c>
      <c r="F10" s="18">
        <v>12</v>
      </c>
      <c r="G10" s="3">
        <f t="shared" si="0"/>
        <v>252</v>
      </c>
      <c r="H10" s="19">
        <f t="shared" si="1"/>
        <v>25</v>
      </c>
      <c r="I10" s="17"/>
    </row>
    <row r="11" spans="1:9">
      <c r="A11" s="16">
        <v>42971</v>
      </c>
      <c r="B11" s="15" t="s">
        <v>152</v>
      </c>
      <c r="C11" s="17">
        <v>9</v>
      </c>
      <c r="D11" s="15">
        <v>108</v>
      </c>
      <c r="E11" s="18">
        <v>4</v>
      </c>
      <c r="F11" s="18">
        <v>12</v>
      </c>
      <c r="G11" s="3">
        <f t="shared" si="0"/>
        <v>252</v>
      </c>
      <c r="H11" s="19">
        <f t="shared" si="1"/>
        <v>25.714285714285712</v>
      </c>
      <c r="I11" s="17"/>
    </row>
    <row r="12" spans="1:9">
      <c r="A12" s="16">
        <v>42973</v>
      </c>
      <c r="B12" s="15" t="s">
        <v>151</v>
      </c>
      <c r="C12" s="17">
        <v>10</v>
      </c>
      <c r="D12" s="15">
        <v>83</v>
      </c>
      <c r="E12" s="18">
        <v>3</v>
      </c>
      <c r="F12" s="18">
        <v>32</v>
      </c>
      <c r="G12" s="3">
        <f t="shared" si="0"/>
        <v>212</v>
      </c>
      <c r="H12" s="19">
        <f t="shared" si="1"/>
        <v>23.490566037735849</v>
      </c>
      <c r="I12" s="17"/>
    </row>
    <row r="13" spans="1:9">
      <c r="A13" s="16">
        <v>42976</v>
      </c>
      <c r="B13" s="15" t="s">
        <v>153</v>
      </c>
      <c r="C13" s="17">
        <v>11</v>
      </c>
      <c r="D13" s="15">
        <v>90</v>
      </c>
      <c r="E13" s="18">
        <v>3</v>
      </c>
      <c r="F13" s="18">
        <v>43</v>
      </c>
      <c r="G13" s="3">
        <f t="shared" si="0"/>
        <v>223</v>
      </c>
      <c r="H13" s="19">
        <f t="shared" si="1"/>
        <v>24.215246636771301</v>
      </c>
      <c r="I13" s="17"/>
    </row>
    <row r="14" spans="1:9">
      <c r="A14" s="16">
        <v>42978</v>
      </c>
      <c r="B14" s="15" t="s">
        <v>154</v>
      </c>
      <c r="C14" s="17">
        <v>12</v>
      </c>
      <c r="D14" s="15">
        <v>94</v>
      </c>
      <c r="E14" s="18">
        <v>3</v>
      </c>
      <c r="F14" s="18">
        <v>56</v>
      </c>
      <c r="G14" s="3">
        <f t="shared" si="0"/>
        <v>236</v>
      </c>
      <c r="H14" s="19">
        <f t="shared" si="1"/>
        <v>23.898305084745761</v>
      </c>
      <c r="I14" s="15"/>
    </row>
    <row r="15" spans="1:9">
      <c r="A15" s="16"/>
      <c r="B15" s="15"/>
      <c r="C15" s="17">
        <v>13</v>
      </c>
      <c r="D15" s="15"/>
      <c r="E15" s="18"/>
      <c r="F15" s="18"/>
      <c r="G15" s="3">
        <f t="shared" si="0"/>
        <v>0</v>
      </c>
      <c r="H15" s="19" t="e">
        <f t="shared" si="1"/>
        <v>#DIV/0!</v>
      </c>
      <c r="I15" s="15"/>
    </row>
    <row r="16" spans="1:9">
      <c r="A16" s="16"/>
      <c r="B16" s="15"/>
      <c r="C16" s="17">
        <v>14</v>
      </c>
      <c r="D16" s="15"/>
      <c r="E16" s="18"/>
      <c r="F16" s="18"/>
      <c r="G16" s="3">
        <f t="shared" si="0"/>
        <v>0</v>
      </c>
      <c r="H16" s="19" t="e">
        <f t="shared" si="1"/>
        <v>#DIV/0!</v>
      </c>
      <c r="I16" s="15"/>
    </row>
    <row r="17" spans="1:9">
      <c r="A17" s="16"/>
      <c r="B17" s="15"/>
      <c r="C17" s="17">
        <v>15</v>
      </c>
      <c r="D17" s="15"/>
      <c r="E17" s="18"/>
      <c r="F17" s="18"/>
      <c r="G17" s="3">
        <f t="shared" si="0"/>
        <v>0</v>
      </c>
      <c r="H17" s="19" t="e">
        <f t="shared" si="1"/>
        <v>#DIV/0!</v>
      </c>
      <c r="I17" s="15"/>
    </row>
    <row r="18" spans="1:9">
      <c r="A18" s="16"/>
      <c r="B18" s="15"/>
      <c r="C18" s="17">
        <v>16</v>
      </c>
      <c r="D18" s="15"/>
      <c r="E18" s="18"/>
      <c r="F18" s="18"/>
      <c r="G18" s="3">
        <f t="shared" si="0"/>
        <v>0</v>
      </c>
      <c r="H18" s="19" t="e">
        <f t="shared" si="1"/>
        <v>#DIV/0!</v>
      </c>
      <c r="I18" s="15"/>
    </row>
    <row r="19" spans="1:9">
      <c r="A19" s="5"/>
      <c r="B19" s="3"/>
      <c r="C19" s="17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17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25"/>
      <c r="C21" s="17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25"/>
      <c r="C22" s="17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17">
        <v>21</v>
      </c>
      <c r="D23" s="3"/>
      <c r="E23" s="6"/>
      <c r="F23" s="6"/>
      <c r="G23" s="3">
        <f t="shared" ref="G23:G24" si="2">SUM(E23*60+F23)</f>
        <v>0</v>
      </c>
      <c r="H23" s="4" t="e">
        <f t="shared" si="1"/>
        <v>#DIV/0!</v>
      </c>
      <c r="I23" s="3"/>
    </row>
    <row r="24" spans="1:9">
      <c r="A24" s="5"/>
      <c r="B24" s="3"/>
      <c r="C24" s="3"/>
      <c r="D24" s="3"/>
      <c r="E24" s="6"/>
      <c r="F24" s="6"/>
      <c r="G24" s="3">
        <f t="shared" si="2"/>
        <v>0</v>
      </c>
      <c r="H24" s="4" t="e">
        <f t="shared" si="1"/>
        <v>#DIV/0!</v>
      </c>
      <c r="I24" s="3"/>
    </row>
    <row r="25" spans="1:9">
      <c r="D25">
        <f>SUM(D3:D24)</f>
        <v>1035</v>
      </c>
    </row>
    <row r="26" spans="1:9">
      <c r="B26">
        <f>SUM(Juil!B25+Aout!D25)</f>
        <v>9143.7999999999993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B12" sqref="B1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11" ht="27" thickBot="1">
      <c r="A1" s="43" t="s">
        <v>14</v>
      </c>
      <c r="B1" s="43"/>
      <c r="C1" s="43"/>
      <c r="D1" s="43"/>
      <c r="E1" s="43"/>
      <c r="F1" s="43"/>
      <c r="G1" s="43"/>
      <c r="H1" s="43"/>
      <c r="I1" s="43"/>
    </row>
    <row r="2" spans="1:11" ht="19.5" thickBot="1">
      <c r="A2" s="11" t="s">
        <v>0</v>
      </c>
      <c r="B2" s="26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11">
      <c r="A3" s="20">
        <v>42983</v>
      </c>
      <c r="B3" s="39"/>
      <c r="C3" s="17">
        <v>1</v>
      </c>
      <c r="D3" s="17">
        <v>96</v>
      </c>
      <c r="E3" s="21">
        <v>3</v>
      </c>
      <c r="F3" s="21">
        <v>46</v>
      </c>
      <c r="G3" s="17">
        <f>SUM(E3*60+F3)</f>
        <v>226</v>
      </c>
      <c r="H3" s="22">
        <f>SUM(D3/G3*60)</f>
        <v>25.486725663716815</v>
      </c>
      <c r="I3" s="17"/>
    </row>
    <row r="4" spans="1:11">
      <c r="A4" s="16">
        <v>42985</v>
      </c>
      <c r="B4" s="39" t="s">
        <v>155</v>
      </c>
      <c r="C4" s="17">
        <v>2</v>
      </c>
      <c r="D4" s="15">
        <v>91</v>
      </c>
      <c r="E4" s="18">
        <v>3</v>
      </c>
      <c r="F4" s="18">
        <v>50</v>
      </c>
      <c r="G4" s="15">
        <f t="shared" ref="G4:G23" si="0">SUM(E4*60+F4)</f>
        <v>230</v>
      </c>
      <c r="H4" s="19">
        <f t="shared" ref="H4:H23" si="1">SUM(D4/G4*60)</f>
        <v>23.739130434782609</v>
      </c>
      <c r="I4" s="15"/>
    </row>
    <row r="5" spans="1:11">
      <c r="A5" s="16">
        <v>42987</v>
      </c>
      <c r="B5" s="41" t="s">
        <v>156</v>
      </c>
      <c r="C5" s="17">
        <v>3</v>
      </c>
      <c r="D5" s="15">
        <v>200</v>
      </c>
      <c r="E5" s="18">
        <v>9</v>
      </c>
      <c r="F5" s="18">
        <v>1</v>
      </c>
      <c r="G5" s="15">
        <f t="shared" si="0"/>
        <v>541</v>
      </c>
      <c r="H5" s="19">
        <f t="shared" si="1"/>
        <v>22.181146025878004</v>
      </c>
      <c r="I5" s="15"/>
    </row>
    <row r="6" spans="1:11">
      <c r="A6" s="16">
        <v>42988</v>
      </c>
      <c r="B6" s="41" t="s">
        <v>157</v>
      </c>
      <c r="C6" s="17">
        <v>2</v>
      </c>
      <c r="D6" s="15">
        <v>170</v>
      </c>
      <c r="E6" s="18">
        <v>7</v>
      </c>
      <c r="F6" s="18">
        <v>15</v>
      </c>
      <c r="G6" s="15">
        <f t="shared" ref="G6" si="2">SUM(E6*60+F6)</f>
        <v>435</v>
      </c>
      <c r="H6" s="19">
        <f t="shared" ref="H6" si="3">SUM(D6/G6*60)</f>
        <v>23.448275862068968</v>
      </c>
      <c r="I6" s="15"/>
    </row>
    <row r="7" spans="1:11">
      <c r="A7" s="16">
        <v>42993</v>
      </c>
      <c r="B7" s="40" t="s">
        <v>158</v>
      </c>
      <c r="C7" s="17">
        <v>5</v>
      </c>
      <c r="D7" s="15">
        <v>60</v>
      </c>
      <c r="E7" s="18">
        <v>3</v>
      </c>
      <c r="F7" s="18">
        <v>2</v>
      </c>
      <c r="G7" s="15">
        <f t="shared" si="0"/>
        <v>182</v>
      </c>
      <c r="H7" s="19">
        <f t="shared" si="1"/>
        <v>19.780219780219781</v>
      </c>
      <c r="I7" s="15"/>
    </row>
    <row r="8" spans="1:11">
      <c r="A8" s="16">
        <v>42997</v>
      </c>
      <c r="B8" s="40" t="s">
        <v>159</v>
      </c>
      <c r="C8" s="17">
        <v>6</v>
      </c>
      <c r="D8" s="15">
        <v>86</v>
      </c>
      <c r="E8" s="18">
        <v>3</v>
      </c>
      <c r="F8" s="18">
        <v>35</v>
      </c>
      <c r="G8" s="15">
        <f t="shared" si="0"/>
        <v>215</v>
      </c>
      <c r="H8" s="19">
        <f t="shared" si="1"/>
        <v>24</v>
      </c>
      <c r="I8" s="15"/>
      <c r="K8" s="24"/>
    </row>
    <row r="9" spans="1:11">
      <c r="A9" s="16">
        <v>42998</v>
      </c>
      <c r="B9" s="15" t="s">
        <v>160</v>
      </c>
      <c r="C9" s="17">
        <v>7</v>
      </c>
      <c r="D9" s="15">
        <v>32</v>
      </c>
      <c r="E9" s="18">
        <v>1</v>
      </c>
      <c r="F9" s="18">
        <v>36</v>
      </c>
      <c r="G9" s="15">
        <f t="shared" si="0"/>
        <v>96</v>
      </c>
      <c r="H9" s="19">
        <f t="shared" si="1"/>
        <v>20</v>
      </c>
      <c r="I9" s="15" t="s">
        <v>121</v>
      </c>
    </row>
    <row r="10" spans="1:11">
      <c r="A10" s="16">
        <v>42999</v>
      </c>
      <c r="B10" s="15" t="s">
        <v>162</v>
      </c>
      <c r="C10" s="17">
        <v>8</v>
      </c>
      <c r="D10" s="15">
        <v>106</v>
      </c>
      <c r="E10" s="18">
        <v>4</v>
      </c>
      <c r="F10" s="18">
        <v>12</v>
      </c>
      <c r="G10" s="15">
        <f t="shared" si="0"/>
        <v>252</v>
      </c>
      <c r="H10" s="19">
        <f t="shared" si="1"/>
        <v>25.238095238095237</v>
      </c>
      <c r="I10" s="15"/>
    </row>
    <row r="11" spans="1:11">
      <c r="A11" s="16">
        <v>43001</v>
      </c>
      <c r="B11" s="15" t="s">
        <v>163</v>
      </c>
      <c r="C11" s="17">
        <v>9</v>
      </c>
      <c r="D11" s="15">
        <v>76</v>
      </c>
      <c r="E11" s="18">
        <v>3</v>
      </c>
      <c r="F11" s="18">
        <v>9</v>
      </c>
      <c r="G11" s="15">
        <f t="shared" si="0"/>
        <v>189</v>
      </c>
      <c r="H11" s="19">
        <f t="shared" si="1"/>
        <v>24.126984126984127</v>
      </c>
      <c r="I11" s="15"/>
    </row>
    <row r="12" spans="1:11">
      <c r="A12" s="5">
        <v>43001</v>
      </c>
      <c r="B12" s="15" t="s">
        <v>189</v>
      </c>
      <c r="C12" s="8">
        <v>10</v>
      </c>
      <c r="D12" s="3">
        <v>30</v>
      </c>
      <c r="E12" s="6">
        <v>2</v>
      </c>
      <c r="F12" s="6">
        <v>4</v>
      </c>
      <c r="G12" s="3">
        <f t="shared" si="0"/>
        <v>124</v>
      </c>
      <c r="H12" s="4">
        <f t="shared" si="1"/>
        <v>14.516129032258064</v>
      </c>
      <c r="I12" s="3" t="s">
        <v>161</v>
      </c>
      <c r="J12" s="24"/>
    </row>
    <row r="13" spans="1:11">
      <c r="A13" s="5">
        <v>43004</v>
      </c>
      <c r="B13" s="3" t="s">
        <v>164</v>
      </c>
      <c r="C13" s="8">
        <v>11</v>
      </c>
      <c r="D13" s="3">
        <v>117</v>
      </c>
      <c r="E13" s="6">
        <v>4</v>
      </c>
      <c r="F13" s="6">
        <v>37</v>
      </c>
      <c r="G13" s="3">
        <f t="shared" si="0"/>
        <v>277</v>
      </c>
      <c r="H13" s="4">
        <f t="shared" si="1"/>
        <v>25.342960288808666</v>
      </c>
      <c r="I13" s="3"/>
    </row>
    <row r="14" spans="1:11">
      <c r="A14" s="5">
        <v>43005</v>
      </c>
      <c r="B14" s="3" t="s">
        <v>165</v>
      </c>
      <c r="C14" s="8">
        <v>12</v>
      </c>
      <c r="D14" s="3">
        <v>35</v>
      </c>
      <c r="E14" s="6">
        <v>1</v>
      </c>
      <c r="F14" s="6">
        <v>45</v>
      </c>
      <c r="G14" s="3">
        <f t="shared" si="0"/>
        <v>105</v>
      </c>
      <c r="H14" s="4">
        <f t="shared" si="1"/>
        <v>20</v>
      </c>
      <c r="I14" s="15" t="s">
        <v>121</v>
      </c>
    </row>
    <row r="15" spans="1:11">
      <c r="A15" s="5">
        <v>43006</v>
      </c>
      <c r="B15" s="3" t="s">
        <v>166</v>
      </c>
      <c r="C15" s="8">
        <v>13</v>
      </c>
      <c r="D15" s="3">
        <v>70</v>
      </c>
      <c r="E15" s="6">
        <v>2</v>
      </c>
      <c r="F15" s="6">
        <v>53</v>
      </c>
      <c r="G15" s="3">
        <f t="shared" si="0"/>
        <v>173</v>
      </c>
      <c r="H15" s="4">
        <f t="shared" si="1"/>
        <v>24.277456647398846</v>
      </c>
      <c r="I15" s="3"/>
    </row>
    <row r="16" spans="1:11">
      <c r="A16" s="5">
        <v>43008</v>
      </c>
      <c r="B16" s="3" t="s">
        <v>167</v>
      </c>
      <c r="C16" s="8">
        <v>14</v>
      </c>
      <c r="D16" s="3">
        <v>83</v>
      </c>
      <c r="E16" s="6">
        <v>3</v>
      </c>
      <c r="F16" s="6">
        <v>17</v>
      </c>
      <c r="G16" s="3">
        <f t="shared" si="0"/>
        <v>197</v>
      </c>
      <c r="H16" s="4">
        <f t="shared" si="1"/>
        <v>25.279187817258883</v>
      </c>
      <c r="I16" s="3"/>
    </row>
    <row r="17" spans="1:9">
      <c r="A17" s="5">
        <v>43008</v>
      </c>
      <c r="B17" s="15" t="s">
        <v>189</v>
      </c>
      <c r="C17" s="8">
        <v>15</v>
      </c>
      <c r="D17" s="3">
        <v>44</v>
      </c>
      <c r="E17" s="6">
        <v>2</v>
      </c>
      <c r="F17" s="6">
        <v>38</v>
      </c>
      <c r="G17" s="3">
        <f t="shared" si="0"/>
        <v>158</v>
      </c>
      <c r="H17" s="4">
        <f t="shared" si="1"/>
        <v>16.708860759493671</v>
      </c>
      <c r="I17" s="3" t="s">
        <v>168</v>
      </c>
    </row>
    <row r="18" spans="1:9">
      <c r="A18" s="5"/>
      <c r="B18" s="39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9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9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1296</v>
      </c>
    </row>
    <row r="25" spans="1:9">
      <c r="B25">
        <f>SUM(Aout!B26+Sept!D24)</f>
        <v>10439.799999999999</v>
      </c>
    </row>
  </sheetData>
  <mergeCells count="2">
    <mergeCell ref="A1:I1"/>
    <mergeCell ref="E2:G2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B19" sqref="B19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15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20">
        <v>43011</v>
      </c>
      <c r="B3" s="17" t="s">
        <v>169</v>
      </c>
      <c r="C3" s="17">
        <v>1</v>
      </c>
      <c r="D3" s="17">
        <v>107</v>
      </c>
      <c r="E3" s="21">
        <v>4</v>
      </c>
      <c r="F3" s="21">
        <v>17</v>
      </c>
      <c r="G3" s="17">
        <f>SUM(E3*60+F3)</f>
        <v>257</v>
      </c>
      <c r="H3" s="22">
        <f>SUM(D3/G3*60)</f>
        <v>24.980544747081712</v>
      </c>
      <c r="I3" s="17"/>
    </row>
    <row r="4" spans="1:9">
      <c r="A4" s="16">
        <v>43013</v>
      </c>
      <c r="B4" s="15" t="s">
        <v>170</v>
      </c>
      <c r="C4" s="17">
        <v>2</v>
      </c>
      <c r="D4" s="15">
        <v>60</v>
      </c>
      <c r="E4" s="18">
        <v>2</v>
      </c>
      <c r="F4" s="18">
        <v>24</v>
      </c>
      <c r="G4" s="15">
        <f t="shared" ref="G4:G23" si="0">SUM(E4*60+F4)</f>
        <v>144</v>
      </c>
      <c r="H4" s="19">
        <f t="shared" ref="H4:H23" si="1">SUM(D4/G4*60)</f>
        <v>25</v>
      </c>
      <c r="I4" s="3"/>
    </row>
    <row r="5" spans="1:9">
      <c r="A5" s="16">
        <v>43015</v>
      </c>
      <c r="B5" s="15" t="s">
        <v>175</v>
      </c>
      <c r="C5" s="17">
        <v>3</v>
      </c>
      <c r="D5" s="15">
        <v>76</v>
      </c>
      <c r="E5" s="18">
        <v>3</v>
      </c>
      <c r="F5" s="18">
        <v>27</v>
      </c>
      <c r="G5" s="15">
        <f t="shared" si="0"/>
        <v>207</v>
      </c>
      <c r="H5" s="19">
        <f t="shared" si="1"/>
        <v>22.028985507246379</v>
      </c>
      <c r="I5" s="15"/>
    </row>
    <row r="6" spans="1:9">
      <c r="A6" s="16">
        <v>43015</v>
      </c>
      <c r="B6" s="15" t="s">
        <v>189</v>
      </c>
      <c r="C6" s="17">
        <v>4</v>
      </c>
      <c r="D6" s="15">
        <v>29</v>
      </c>
      <c r="E6" s="18">
        <v>2</v>
      </c>
      <c r="F6" s="18">
        <v>1</v>
      </c>
      <c r="G6" s="15">
        <f t="shared" si="0"/>
        <v>121</v>
      </c>
      <c r="H6" s="19">
        <f t="shared" si="1"/>
        <v>14.380165289256199</v>
      </c>
      <c r="I6" s="15" t="s">
        <v>171</v>
      </c>
    </row>
    <row r="7" spans="1:9">
      <c r="A7" s="16">
        <v>43016</v>
      </c>
      <c r="B7" s="15" t="s">
        <v>172</v>
      </c>
      <c r="C7" s="17">
        <v>5</v>
      </c>
      <c r="D7" s="15">
        <v>43</v>
      </c>
      <c r="E7" s="18">
        <v>2</v>
      </c>
      <c r="F7" s="18">
        <v>8</v>
      </c>
      <c r="G7" s="15">
        <f t="shared" si="0"/>
        <v>128</v>
      </c>
      <c r="H7" s="19">
        <f t="shared" si="1"/>
        <v>20.15625</v>
      </c>
      <c r="I7" s="15"/>
    </row>
    <row r="8" spans="1:9">
      <c r="A8" s="16">
        <v>43018</v>
      </c>
      <c r="B8" s="15" t="s">
        <v>173</v>
      </c>
      <c r="C8" s="17">
        <v>6</v>
      </c>
      <c r="D8" s="15">
        <v>70</v>
      </c>
      <c r="E8" s="18">
        <v>2</v>
      </c>
      <c r="F8" s="18">
        <v>44</v>
      </c>
      <c r="G8" s="15">
        <f t="shared" si="0"/>
        <v>164</v>
      </c>
      <c r="H8" s="19">
        <f t="shared" si="1"/>
        <v>25.609756097560975</v>
      </c>
      <c r="I8" s="3"/>
    </row>
    <row r="9" spans="1:9">
      <c r="A9" s="16">
        <v>43020</v>
      </c>
      <c r="B9" s="15" t="s">
        <v>174</v>
      </c>
      <c r="C9" s="17">
        <v>7</v>
      </c>
      <c r="D9" s="15">
        <v>100</v>
      </c>
      <c r="E9" s="18">
        <v>4</v>
      </c>
      <c r="F9" s="18">
        <v>7</v>
      </c>
      <c r="G9" s="15">
        <f t="shared" si="0"/>
        <v>247</v>
      </c>
      <c r="H9" s="19">
        <f t="shared" si="1"/>
        <v>24.291497975708502</v>
      </c>
      <c r="I9" s="15"/>
    </row>
    <row r="10" spans="1:9">
      <c r="A10" s="16">
        <v>43022</v>
      </c>
      <c r="B10" s="15" t="s">
        <v>176</v>
      </c>
      <c r="C10" s="17">
        <v>8</v>
      </c>
      <c r="D10" s="15">
        <v>76</v>
      </c>
      <c r="E10" s="18">
        <v>3</v>
      </c>
      <c r="F10" s="18">
        <v>2</v>
      </c>
      <c r="G10" s="15">
        <f t="shared" si="0"/>
        <v>182</v>
      </c>
      <c r="H10" s="19">
        <f t="shared" si="1"/>
        <v>25.054945054945055</v>
      </c>
      <c r="I10" s="15"/>
    </row>
    <row r="11" spans="1:9">
      <c r="A11" s="5">
        <v>43022</v>
      </c>
      <c r="B11" s="15" t="s">
        <v>189</v>
      </c>
      <c r="C11" s="8">
        <v>9</v>
      </c>
      <c r="D11" s="3">
        <v>36</v>
      </c>
      <c r="E11" s="6">
        <v>2</v>
      </c>
      <c r="F11" s="6">
        <v>8</v>
      </c>
      <c r="G11" s="3">
        <f t="shared" si="0"/>
        <v>128</v>
      </c>
      <c r="H11" s="4">
        <f t="shared" si="1"/>
        <v>16.875</v>
      </c>
      <c r="I11" s="3" t="s">
        <v>177</v>
      </c>
    </row>
    <row r="12" spans="1:9">
      <c r="A12" s="5">
        <v>43025</v>
      </c>
      <c r="B12" s="3" t="s">
        <v>178</v>
      </c>
      <c r="C12" s="8">
        <v>10</v>
      </c>
      <c r="D12" s="3">
        <v>113</v>
      </c>
      <c r="E12" s="6">
        <v>4</v>
      </c>
      <c r="F12" s="6">
        <v>22</v>
      </c>
      <c r="G12" s="3">
        <f t="shared" si="0"/>
        <v>262</v>
      </c>
      <c r="H12" s="4">
        <f t="shared" si="1"/>
        <v>25.877862595419849</v>
      </c>
      <c r="I12" s="3"/>
    </row>
    <row r="13" spans="1:9">
      <c r="A13" s="5">
        <v>43026</v>
      </c>
      <c r="B13" s="3" t="s">
        <v>179</v>
      </c>
      <c r="C13" s="8">
        <v>11</v>
      </c>
      <c r="D13" s="3">
        <v>41</v>
      </c>
      <c r="E13" s="6">
        <v>2</v>
      </c>
      <c r="F13" s="6">
        <v>5</v>
      </c>
      <c r="G13" s="3">
        <f t="shared" si="0"/>
        <v>125</v>
      </c>
      <c r="H13" s="4">
        <f t="shared" si="1"/>
        <v>19.68</v>
      </c>
      <c r="I13" s="3" t="s">
        <v>180</v>
      </c>
    </row>
    <row r="14" spans="1:9">
      <c r="A14" s="5">
        <v>43029</v>
      </c>
      <c r="B14" s="3" t="s">
        <v>182</v>
      </c>
      <c r="C14" s="8">
        <v>12</v>
      </c>
      <c r="D14" s="3">
        <v>73</v>
      </c>
      <c r="E14" s="6">
        <v>3</v>
      </c>
      <c r="F14" s="6">
        <v>6</v>
      </c>
      <c r="G14" s="3">
        <f t="shared" si="0"/>
        <v>186</v>
      </c>
      <c r="H14" s="4">
        <f t="shared" si="1"/>
        <v>23.548387096774192</v>
      </c>
      <c r="I14" s="3"/>
    </row>
    <row r="15" spans="1:9">
      <c r="A15" s="5">
        <v>43029</v>
      </c>
      <c r="B15" s="15" t="s">
        <v>189</v>
      </c>
      <c r="C15" s="8">
        <v>13</v>
      </c>
      <c r="D15" s="3">
        <v>29</v>
      </c>
      <c r="E15" s="6">
        <v>2</v>
      </c>
      <c r="F15" s="6">
        <v>0</v>
      </c>
      <c r="G15" s="3">
        <f t="shared" si="0"/>
        <v>120</v>
      </c>
      <c r="H15" s="4">
        <f t="shared" si="1"/>
        <v>14.5</v>
      </c>
      <c r="I15" s="3" t="s">
        <v>181</v>
      </c>
    </row>
    <row r="16" spans="1:9">
      <c r="A16" s="5">
        <v>43032</v>
      </c>
      <c r="B16" s="3" t="s">
        <v>183</v>
      </c>
      <c r="C16" s="8">
        <v>14</v>
      </c>
      <c r="D16" s="3">
        <v>88</v>
      </c>
      <c r="E16" s="6">
        <v>3</v>
      </c>
      <c r="F16" s="6">
        <v>42</v>
      </c>
      <c r="G16" s="3">
        <f t="shared" si="0"/>
        <v>222</v>
      </c>
      <c r="H16" s="4">
        <f t="shared" si="1"/>
        <v>23.783783783783782</v>
      </c>
      <c r="I16" s="3"/>
    </row>
    <row r="17" spans="1:9">
      <c r="A17" s="5">
        <v>43034</v>
      </c>
      <c r="B17" s="3" t="s">
        <v>184</v>
      </c>
      <c r="C17" s="8">
        <v>15</v>
      </c>
      <c r="D17" s="3">
        <v>99</v>
      </c>
      <c r="E17" s="6">
        <v>4</v>
      </c>
      <c r="F17" s="6">
        <v>0</v>
      </c>
      <c r="G17" s="3">
        <f t="shared" si="0"/>
        <v>240</v>
      </c>
      <c r="H17" s="4">
        <f t="shared" si="1"/>
        <v>24.75</v>
      </c>
      <c r="I17" s="3"/>
    </row>
    <row r="18" spans="1:9">
      <c r="A18" s="5">
        <v>43036</v>
      </c>
      <c r="B18" s="3" t="s">
        <v>185</v>
      </c>
      <c r="C18" s="8">
        <v>16</v>
      </c>
      <c r="D18" s="3">
        <v>74</v>
      </c>
      <c r="E18" s="6">
        <v>2</v>
      </c>
      <c r="F18" s="6">
        <v>55</v>
      </c>
      <c r="G18" s="3">
        <f t="shared" si="0"/>
        <v>175</v>
      </c>
      <c r="H18" s="4">
        <f t="shared" si="1"/>
        <v>25.371428571428574</v>
      </c>
      <c r="I18" s="3"/>
    </row>
    <row r="19" spans="1:9">
      <c r="A19" s="5">
        <v>43036</v>
      </c>
      <c r="B19" s="15" t="s">
        <v>189</v>
      </c>
      <c r="C19" s="8">
        <v>17</v>
      </c>
      <c r="D19" s="3">
        <v>42</v>
      </c>
      <c r="E19" s="6">
        <v>1</v>
      </c>
      <c r="F19" s="6">
        <v>58</v>
      </c>
      <c r="G19" s="3">
        <f t="shared" si="0"/>
        <v>118</v>
      </c>
      <c r="H19" s="4">
        <f t="shared" si="1"/>
        <v>21.35593220338983</v>
      </c>
      <c r="I19" s="3"/>
    </row>
    <row r="20" spans="1:9">
      <c r="A20" s="5">
        <v>43039</v>
      </c>
      <c r="B20" s="3" t="s">
        <v>186</v>
      </c>
      <c r="C20" s="8">
        <v>18</v>
      </c>
      <c r="D20" s="3">
        <v>94</v>
      </c>
      <c r="E20" s="6">
        <v>3</v>
      </c>
      <c r="F20" s="6">
        <v>46</v>
      </c>
      <c r="G20" s="3">
        <f t="shared" si="0"/>
        <v>226</v>
      </c>
      <c r="H20" s="4">
        <f t="shared" si="1"/>
        <v>24.955752212389378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1250</v>
      </c>
    </row>
    <row r="25" spans="1:9">
      <c r="B25">
        <f>SUM(Sept!B25+Oct!D24)</f>
        <v>11689.8</v>
      </c>
    </row>
  </sheetData>
  <mergeCells count="2">
    <mergeCell ref="A1:I1"/>
    <mergeCell ref="E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B12" sqref="B1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16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20">
        <v>43041</v>
      </c>
      <c r="B3" s="17" t="s">
        <v>187</v>
      </c>
      <c r="C3" s="17">
        <v>1</v>
      </c>
      <c r="D3" s="17">
        <v>73</v>
      </c>
      <c r="E3" s="21">
        <v>2</v>
      </c>
      <c r="F3" s="21">
        <v>51</v>
      </c>
      <c r="G3" s="17">
        <f>SUM(E3*60+F3)</f>
        <v>171</v>
      </c>
      <c r="H3" s="22">
        <f>SUM(D3/G3*60)</f>
        <v>25.614035087719298</v>
      </c>
      <c r="I3" s="15"/>
    </row>
    <row r="4" spans="1:9">
      <c r="A4" s="16">
        <v>43043</v>
      </c>
      <c r="B4" s="15" t="s">
        <v>188</v>
      </c>
      <c r="C4" s="17">
        <v>2</v>
      </c>
      <c r="D4" s="15">
        <v>75</v>
      </c>
      <c r="E4" s="18">
        <v>3</v>
      </c>
      <c r="F4" s="18">
        <v>11</v>
      </c>
      <c r="G4" s="15">
        <f t="shared" ref="G4:G23" si="0">SUM(E4*60+F4)</f>
        <v>191</v>
      </c>
      <c r="H4" s="19">
        <f t="shared" ref="H4:H23" si="1">SUM(D4/G4*60)</f>
        <v>23.560209424083773</v>
      </c>
      <c r="I4" s="15"/>
    </row>
    <row r="5" spans="1:9">
      <c r="A5" s="16">
        <v>43043</v>
      </c>
      <c r="B5" s="15" t="s">
        <v>189</v>
      </c>
      <c r="C5" s="17">
        <v>3</v>
      </c>
      <c r="D5" s="15">
        <v>27</v>
      </c>
      <c r="E5" s="18">
        <v>1</v>
      </c>
      <c r="F5" s="18">
        <v>35</v>
      </c>
      <c r="G5" s="15">
        <f t="shared" si="0"/>
        <v>95</v>
      </c>
      <c r="H5" s="19">
        <f t="shared" si="1"/>
        <v>17.05263157894737</v>
      </c>
      <c r="I5" s="15"/>
    </row>
    <row r="6" spans="1:9">
      <c r="A6" s="16">
        <v>43046</v>
      </c>
      <c r="B6" s="15" t="s">
        <v>190</v>
      </c>
      <c r="C6" s="17">
        <v>4</v>
      </c>
      <c r="D6" s="15">
        <v>102</v>
      </c>
      <c r="E6" s="18">
        <v>4</v>
      </c>
      <c r="F6" s="18">
        <v>1</v>
      </c>
      <c r="G6" s="15">
        <f t="shared" si="0"/>
        <v>241</v>
      </c>
      <c r="H6" s="19">
        <f t="shared" si="1"/>
        <v>25.394190871369293</v>
      </c>
      <c r="I6" s="15"/>
    </row>
    <row r="7" spans="1:9">
      <c r="A7" s="16">
        <v>43053</v>
      </c>
      <c r="B7" s="15" t="s">
        <v>191</v>
      </c>
      <c r="C7" s="17">
        <v>5</v>
      </c>
      <c r="D7" s="15">
        <v>91</v>
      </c>
      <c r="E7" s="18">
        <v>3</v>
      </c>
      <c r="F7" s="18">
        <v>31</v>
      </c>
      <c r="G7" s="15">
        <f t="shared" si="0"/>
        <v>211</v>
      </c>
      <c r="H7" s="19">
        <f t="shared" si="1"/>
        <v>25.876777251184834</v>
      </c>
      <c r="I7" s="15"/>
    </row>
    <row r="8" spans="1:9">
      <c r="A8" s="16">
        <v>43055</v>
      </c>
      <c r="B8" s="15" t="s">
        <v>192</v>
      </c>
      <c r="C8" s="17">
        <v>6</v>
      </c>
      <c r="D8" s="15">
        <v>102</v>
      </c>
      <c r="E8" s="18">
        <v>4</v>
      </c>
      <c r="F8" s="18"/>
      <c r="G8" s="15">
        <f t="shared" si="0"/>
        <v>240</v>
      </c>
      <c r="H8" s="19">
        <f t="shared" si="1"/>
        <v>25.5</v>
      </c>
      <c r="I8" s="15"/>
    </row>
    <row r="9" spans="1:9">
      <c r="A9" s="16">
        <v>43060</v>
      </c>
      <c r="B9" s="15" t="s">
        <v>193</v>
      </c>
      <c r="C9" s="17">
        <v>7</v>
      </c>
      <c r="D9" s="15">
        <v>82</v>
      </c>
      <c r="E9" s="18">
        <v>3</v>
      </c>
      <c r="F9" s="18">
        <v>20</v>
      </c>
      <c r="G9" s="15">
        <f t="shared" si="0"/>
        <v>200</v>
      </c>
      <c r="H9" s="19">
        <f t="shared" si="1"/>
        <v>24.599999999999998</v>
      </c>
      <c r="I9" s="15"/>
    </row>
    <row r="10" spans="1:9">
      <c r="A10" s="16">
        <v>43062</v>
      </c>
      <c r="B10" s="15" t="s">
        <v>194</v>
      </c>
      <c r="C10" s="17">
        <v>8</v>
      </c>
      <c r="D10" s="15">
        <v>93</v>
      </c>
      <c r="E10" s="18">
        <v>3</v>
      </c>
      <c r="F10" s="18">
        <v>26</v>
      </c>
      <c r="G10" s="15">
        <f t="shared" si="0"/>
        <v>206</v>
      </c>
      <c r="H10" s="19">
        <f t="shared" si="1"/>
        <v>27.087378640776699</v>
      </c>
      <c r="I10" s="15" t="s">
        <v>181</v>
      </c>
    </row>
    <row r="11" spans="1:9">
      <c r="A11" s="16">
        <v>43064</v>
      </c>
      <c r="B11" s="6" t="s">
        <v>195</v>
      </c>
      <c r="C11" s="17">
        <v>9</v>
      </c>
      <c r="D11" s="15">
        <v>74</v>
      </c>
      <c r="E11" s="18">
        <v>2</v>
      </c>
      <c r="F11" s="18">
        <v>54</v>
      </c>
      <c r="G11" s="15">
        <f t="shared" si="0"/>
        <v>174</v>
      </c>
      <c r="H11" s="19">
        <f t="shared" si="1"/>
        <v>25.517241379310345</v>
      </c>
      <c r="I11" s="15"/>
    </row>
    <row r="12" spans="1:9">
      <c r="A12" s="16">
        <v>43064</v>
      </c>
      <c r="B12" s="15" t="s">
        <v>189</v>
      </c>
      <c r="C12" s="17">
        <v>10</v>
      </c>
      <c r="D12" s="15">
        <v>30</v>
      </c>
      <c r="E12" s="18">
        <v>1</v>
      </c>
      <c r="F12" s="18">
        <v>55</v>
      </c>
      <c r="G12" s="15">
        <f t="shared" si="0"/>
        <v>115</v>
      </c>
      <c r="H12" s="19">
        <f t="shared" si="1"/>
        <v>15.652173913043478</v>
      </c>
      <c r="I12" s="15"/>
    </row>
    <row r="13" spans="1:9">
      <c r="A13" s="16">
        <v>43067</v>
      </c>
      <c r="B13" s="15" t="s">
        <v>196</v>
      </c>
      <c r="C13" s="17">
        <v>11</v>
      </c>
      <c r="D13" s="15">
        <v>88</v>
      </c>
      <c r="E13" s="18">
        <v>3</v>
      </c>
      <c r="F13" s="18">
        <v>40</v>
      </c>
      <c r="G13" s="15">
        <f t="shared" si="0"/>
        <v>220</v>
      </c>
      <c r="H13" s="19">
        <f t="shared" si="1"/>
        <v>24</v>
      </c>
      <c r="I13" s="15"/>
    </row>
    <row r="14" spans="1:9">
      <c r="A14" s="16">
        <v>43069</v>
      </c>
      <c r="B14" s="15" t="s">
        <v>197</v>
      </c>
      <c r="C14" s="17">
        <v>12</v>
      </c>
      <c r="D14" s="15">
        <v>88</v>
      </c>
      <c r="E14" s="18">
        <v>3</v>
      </c>
      <c r="F14" s="18">
        <v>29</v>
      </c>
      <c r="G14" s="15">
        <f t="shared" si="0"/>
        <v>209</v>
      </c>
      <c r="H14" s="19">
        <f t="shared" si="1"/>
        <v>25.263157894736842</v>
      </c>
      <c r="I14" s="15"/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15"/>
    </row>
    <row r="16" spans="1:9">
      <c r="A16" s="5"/>
      <c r="B16" s="3"/>
      <c r="C16" s="8">
        <v>14</v>
      </c>
      <c r="D16" s="3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925</v>
      </c>
    </row>
    <row r="25" spans="1:9">
      <c r="B25">
        <f>SUM(Oct!B25+Nov!D24)</f>
        <v>12614.8</v>
      </c>
    </row>
  </sheetData>
  <mergeCells count="2">
    <mergeCell ref="A1:I1"/>
    <mergeCell ref="E2:G2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5"/>
  <sheetViews>
    <sheetView tabSelected="1" topLeftCell="A4" workbookViewId="0">
      <selection activeCell="D28" sqref="D28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43" t="s">
        <v>17</v>
      </c>
      <c r="B1" s="43"/>
      <c r="C1" s="43"/>
      <c r="D1" s="43"/>
      <c r="E1" s="43"/>
      <c r="F1" s="43"/>
      <c r="G1" s="43"/>
      <c r="H1" s="43"/>
      <c r="I1" s="43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42" t="s">
        <v>3</v>
      </c>
      <c r="F2" s="42"/>
      <c r="G2" s="42"/>
      <c r="H2" s="13" t="s">
        <v>4</v>
      </c>
      <c r="I2" s="14" t="s">
        <v>5</v>
      </c>
    </row>
    <row r="3" spans="1:9">
      <c r="A3" s="7">
        <v>43071</v>
      </c>
      <c r="B3" s="8" t="s">
        <v>198</v>
      </c>
      <c r="C3" s="8">
        <v>1</v>
      </c>
      <c r="D3" s="8">
        <v>72</v>
      </c>
      <c r="E3" s="9">
        <v>3</v>
      </c>
      <c r="F3" s="9">
        <v>10</v>
      </c>
      <c r="G3" s="8">
        <f>SUM(E3*60+F3)</f>
        <v>190</v>
      </c>
      <c r="H3" s="10">
        <f>SUM(D3/G3*60)</f>
        <v>22.736842105263158</v>
      </c>
      <c r="I3" s="8" t="s">
        <v>199</v>
      </c>
    </row>
    <row r="4" spans="1:9">
      <c r="A4" s="5">
        <v>43071</v>
      </c>
      <c r="B4" s="15" t="s">
        <v>189</v>
      </c>
      <c r="C4" s="8">
        <v>2</v>
      </c>
      <c r="D4" s="3">
        <v>23</v>
      </c>
      <c r="E4" s="6">
        <v>1</v>
      </c>
      <c r="F4" s="6">
        <v>33</v>
      </c>
      <c r="G4" s="3">
        <f t="shared" ref="G4:G23" si="0">SUM(E4*60+F4)</f>
        <v>93</v>
      </c>
      <c r="H4" s="4">
        <f t="shared" ref="H4:H23" si="1">SUM(D4/G4*60)</f>
        <v>14.838709677419356</v>
      </c>
      <c r="I4" s="8" t="s">
        <v>199</v>
      </c>
    </row>
    <row r="5" spans="1:9">
      <c r="A5" s="16">
        <v>43074</v>
      </c>
      <c r="B5" s="15" t="s">
        <v>200</v>
      </c>
      <c r="C5" s="17">
        <v>3</v>
      </c>
      <c r="D5" s="15">
        <v>90</v>
      </c>
      <c r="E5" s="18">
        <v>3</v>
      </c>
      <c r="F5" s="18">
        <v>49</v>
      </c>
      <c r="G5" s="15">
        <f t="shared" si="0"/>
        <v>229</v>
      </c>
      <c r="H5" s="19">
        <f t="shared" si="1"/>
        <v>23.580786026200872</v>
      </c>
      <c r="I5" s="15"/>
    </row>
    <row r="6" spans="1:9">
      <c r="A6" s="16">
        <v>43075</v>
      </c>
      <c r="B6" s="15" t="s">
        <v>201</v>
      </c>
      <c r="C6" s="17">
        <v>4</v>
      </c>
      <c r="D6" s="15">
        <v>85</v>
      </c>
      <c r="E6" s="18">
        <v>3</v>
      </c>
      <c r="F6" s="18">
        <v>25</v>
      </c>
      <c r="G6" s="15">
        <f t="shared" si="0"/>
        <v>205</v>
      </c>
      <c r="H6" s="19">
        <f t="shared" si="1"/>
        <v>24.878048780487802</v>
      </c>
      <c r="I6" s="15"/>
    </row>
    <row r="7" spans="1:9">
      <c r="A7" s="16">
        <v>43078</v>
      </c>
      <c r="B7" s="15" t="s">
        <v>202</v>
      </c>
      <c r="C7" s="17">
        <v>5</v>
      </c>
      <c r="D7" s="15">
        <v>72</v>
      </c>
      <c r="E7" s="18">
        <v>3</v>
      </c>
      <c r="F7" s="18">
        <v>0</v>
      </c>
      <c r="G7" s="15">
        <f t="shared" si="0"/>
        <v>180</v>
      </c>
      <c r="H7" s="19">
        <f t="shared" si="1"/>
        <v>24</v>
      </c>
      <c r="I7" s="15"/>
    </row>
    <row r="8" spans="1:9">
      <c r="A8" s="16">
        <v>43081</v>
      </c>
      <c r="B8" s="15" t="s">
        <v>203</v>
      </c>
      <c r="C8" s="17">
        <v>6</v>
      </c>
      <c r="D8" s="15">
        <v>86</v>
      </c>
      <c r="E8" s="18">
        <v>3</v>
      </c>
      <c r="F8" s="18">
        <v>37</v>
      </c>
      <c r="G8" s="15">
        <f t="shared" si="0"/>
        <v>217</v>
      </c>
      <c r="H8" s="19">
        <f t="shared" si="1"/>
        <v>23.778801843317972</v>
      </c>
      <c r="I8" s="15"/>
    </row>
    <row r="9" spans="1:9">
      <c r="A9" s="16">
        <v>43085</v>
      </c>
      <c r="B9" s="8" t="s">
        <v>204</v>
      </c>
      <c r="C9" s="17">
        <v>7</v>
      </c>
      <c r="D9" s="15">
        <v>72</v>
      </c>
      <c r="E9" s="18">
        <v>3</v>
      </c>
      <c r="F9" s="18">
        <v>8</v>
      </c>
      <c r="G9" s="15">
        <f t="shared" si="0"/>
        <v>188</v>
      </c>
      <c r="H9" s="19">
        <f t="shared" si="1"/>
        <v>22.978723404255319</v>
      </c>
      <c r="I9" s="15"/>
    </row>
    <row r="10" spans="1:9">
      <c r="A10" s="5">
        <v>43085</v>
      </c>
      <c r="B10" s="15" t="s">
        <v>189</v>
      </c>
      <c r="C10" s="8">
        <v>8</v>
      </c>
      <c r="D10" s="3">
        <v>22</v>
      </c>
      <c r="E10" s="6">
        <v>1</v>
      </c>
      <c r="F10" s="6">
        <v>20</v>
      </c>
      <c r="G10" s="3">
        <f t="shared" si="0"/>
        <v>80</v>
      </c>
      <c r="H10" s="4">
        <f t="shared" si="1"/>
        <v>16.5</v>
      </c>
      <c r="I10" s="8" t="s">
        <v>199</v>
      </c>
    </row>
    <row r="11" spans="1:9">
      <c r="A11" s="5">
        <v>43088</v>
      </c>
      <c r="B11" s="3" t="s">
        <v>205</v>
      </c>
      <c r="C11" s="8">
        <v>9</v>
      </c>
      <c r="D11" s="3">
        <v>90</v>
      </c>
      <c r="E11" s="6">
        <v>3</v>
      </c>
      <c r="F11" s="6">
        <v>40</v>
      </c>
      <c r="G11" s="3">
        <f t="shared" si="0"/>
        <v>220</v>
      </c>
      <c r="H11" s="4">
        <f t="shared" si="1"/>
        <v>24.545454545454547</v>
      </c>
      <c r="I11" s="3"/>
    </row>
    <row r="12" spans="1:9">
      <c r="A12" s="5">
        <v>43090</v>
      </c>
      <c r="B12" s="3" t="s">
        <v>206</v>
      </c>
      <c r="C12" s="8">
        <v>10</v>
      </c>
      <c r="D12" s="3">
        <v>90</v>
      </c>
      <c r="E12" s="6">
        <v>3</v>
      </c>
      <c r="F12" s="6">
        <v>39</v>
      </c>
      <c r="G12" s="3">
        <f t="shared" si="0"/>
        <v>219</v>
      </c>
      <c r="H12" s="4">
        <f t="shared" si="1"/>
        <v>24.657534246575342</v>
      </c>
      <c r="I12" s="3"/>
    </row>
    <row r="13" spans="1:9">
      <c r="A13" s="5">
        <v>43092</v>
      </c>
      <c r="B13" s="3" t="s">
        <v>207</v>
      </c>
      <c r="C13" s="8">
        <v>11</v>
      </c>
      <c r="D13" s="3">
        <v>77</v>
      </c>
      <c r="E13" s="6">
        <v>3</v>
      </c>
      <c r="F13" s="6">
        <v>2</v>
      </c>
      <c r="G13" s="3">
        <f t="shared" si="0"/>
        <v>182</v>
      </c>
      <c r="H13" s="4">
        <f t="shared" si="1"/>
        <v>25.384615384615383</v>
      </c>
      <c r="I13" s="3"/>
    </row>
    <row r="14" spans="1:9">
      <c r="A14" s="5">
        <v>43095</v>
      </c>
      <c r="B14" s="3" t="s">
        <v>208</v>
      </c>
      <c r="C14" s="8">
        <v>12</v>
      </c>
      <c r="D14" s="3">
        <v>88</v>
      </c>
      <c r="E14" s="6">
        <v>3</v>
      </c>
      <c r="F14" s="6">
        <v>40</v>
      </c>
      <c r="G14" s="3">
        <f t="shared" si="0"/>
        <v>220</v>
      </c>
      <c r="H14" s="4">
        <f t="shared" si="1"/>
        <v>24</v>
      </c>
      <c r="I14" s="3"/>
    </row>
    <row r="15" spans="1:9">
      <c r="A15" s="5">
        <v>43097</v>
      </c>
      <c r="B15" s="3" t="s">
        <v>210</v>
      </c>
      <c r="C15" s="8">
        <v>13</v>
      </c>
      <c r="D15" s="3">
        <v>91</v>
      </c>
      <c r="E15" s="6">
        <v>3</v>
      </c>
      <c r="F15" s="6">
        <v>32</v>
      </c>
      <c r="G15" s="3">
        <f t="shared" si="0"/>
        <v>212</v>
      </c>
      <c r="H15" s="4">
        <f t="shared" si="1"/>
        <v>25.754716981132077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958</v>
      </c>
    </row>
    <row r="25" spans="1:9">
      <c r="B25">
        <f>SUM(Nov!B25+Déc!D24)</f>
        <v>13572.8</v>
      </c>
    </row>
  </sheetData>
  <mergeCells count="2">
    <mergeCell ref="A1:I1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</cp:lastModifiedBy>
  <dcterms:created xsi:type="dcterms:W3CDTF">2015-01-07T20:15:24Z</dcterms:created>
  <dcterms:modified xsi:type="dcterms:W3CDTF">2017-12-28T17:57:27Z</dcterms:modified>
</cp:coreProperties>
</file>