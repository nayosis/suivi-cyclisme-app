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3260" windowHeight="9270" activeTab="1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25725"/>
</workbook>
</file>

<file path=xl/calcChain.xml><?xml version="1.0" encoding="utf-8"?>
<calcChain xmlns="http://schemas.openxmlformats.org/spreadsheetml/2006/main">
  <c r="I24" i="12"/>
  <c r="I24" i="11"/>
  <c r="I24" i="10"/>
  <c r="I24" i="9"/>
  <c r="I25" i="8"/>
  <c r="I24" i="7"/>
  <c r="I24" i="6"/>
  <c r="I24" i="5"/>
  <c r="I24" i="4"/>
  <c r="G18"/>
  <c r="H18" s="1"/>
  <c r="G9" i="3"/>
  <c r="H9" s="1"/>
  <c r="H1" i="12"/>
  <c r="H1" i="11"/>
  <c r="H1" i="10"/>
  <c r="H1" i="9"/>
  <c r="H1" i="8"/>
  <c r="H1" i="7"/>
  <c r="H1" i="6"/>
  <c r="H1" i="4"/>
  <c r="H1" i="5"/>
  <c r="H1" i="3"/>
  <c r="H1" i="2"/>
  <c r="G3" i="5"/>
  <c r="H3" s="1"/>
  <c r="G4"/>
  <c r="H4" s="1"/>
  <c r="G5"/>
  <c r="H5" s="1"/>
  <c r="G6"/>
  <c r="G7"/>
  <c r="H7" s="1"/>
  <c r="G8"/>
  <c r="H8" s="1"/>
  <c r="G9"/>
  <c r="H9" s="1"/>
  <c r="G10"/>
  <c r="H10" s="1"/>
  <c r="G11"/>
  <c r="H11" s="1"/>
  <c r="G12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G21"/>
  <c r="G22"/>
  <c r="H22" s="1"/>
  <c r="G23"/>
  <c r="H23" s="1"/>
  <c r="G3" i="12"/>
  <c r="H3" s="1"/>
  <c r="G4"/>
  <c r="H4" s="1"/>
  <c r="G5"/>
  <c r="H5" s="1"/>
  <c r="G6"/>
  <c r="H6" s="1"/>
  <c r="G7"/>
  <c r="H7" s="1"/>
  <c r="G8"/>
  <c r="H8" s="1"/>
  <c r="G9"/>
  <c r="H9" s="1"/>
  <c r="G10"/>
  <c r="H10" s="1"/>
  <c r="G11"/>
  <c r="H11" s="1"/>
  <c r="G12"/>
  <c r="H12" s="1"/>
  <c r="G13"/>
  <c r="H13"/>
  <c r="G14"/>
  <c r="H14" s="1"/>
  <c r="G16" i="11"/>
  <c r="G22" i="8"/>
  <c r="G21"/>
  <c r="H21" s="1"/>
  <c r="G20"/>
  <c r="G19"/>
  <c r="G18"/>
  <c r="G17"/>
  <c r="H17" s="1"/>
  <c r="G16"/>
  <c r="G15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G22" i="7"/>
  <c r="H22" s="1"/>
  <c r="G20" i="6"/>
  <c r="H20" s="1"/>
  <c r="G19"/>
  <c r="G18"/>
  <c r="H18" s="1"/>
  <c r="G17"/>
  <c r="H17" s="1"/>
  <c r="G16"/>
  <c r="H16" s="1"/>
  <c r="G15"/>
  <c r="H15" s="1"/>
  <c r="G14"/>
  <c r="H14" s="1"/>
  <c r="G13"/>
  <c r="H13" s="1"/>
  <c r="G12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G13" i="4"/>
  <c r="H13" s="1"/>
  <c r="G3" i="1"/>
  <c r="H3" s="1"/>
  <c r="G4"/>
  <c r="H4" s="1"/>
  <c r="G5"/>
  <c r="H5" s="1"/>
  <c r="G6"/>
  <c r="G7"/>
  <c r="G8"/>
  <c r="H8" s="1"/>
  <c r="G9"/>
  <c r="H9" s="1"/>
  <c r="G10"/>
  <c r="H10" s="1"/>
  <c r="G11"/>
  <c r="H11" s="1"/>
  <c r="G12"/>
  <c r="H6"/>
  <c r="H7"/>
  <c r="H12"/>
  <c r="G12" i="11"/>
  <c r="H12" s="1"/>
  <c r="G9" i="9"/>
  <c r="H9" s="1"/>
  <c r="G7"/>
  <c r="H7" s="1"/>
  <c r="G6"/>
  <c r="H6" s="1"/>
  <c r="G8" i="4"/>
  <c r="H8" s="1"/>
  <c r="D24" i="1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D24" i="11"/>
  <c r="G23"/>
  <c r="H23" s="1"/>
  <c r="G22"/>
  <c r="H22" s="1"/>
  <c r="G21"/>
  <c r="H21" s="1"/>
  <c r="H20"/>
  <c r="G20"/>
  <c r="G19"/>
  <c r="H19" s="1"/>
  <c r="H18"/>
  <c r="G18"/>
  <c r="G17"/>
  <c r="H17" s="1"/>
  <c r="H16"/>
  <c r="G15"/>
  <c r="H15" s="1"/>
  <c r="G14"/>
  <c r="H14" s="1"/>
  <c r="G13"/>
  <c r="H13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0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9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G5"/>
  <c r="H5" s="1"/>
  <c r="G4"/>
  <c r="H4" s="1"/>
  <c r="G3"/>
  <c r="H3" s="1"/>
  <c r="D25" i="8"/>
  <c r="G24"/>
  <c r="H24" s="1"/>
  <c r="H23"/>
  <c r="G23"/>
  <c r="H22"/>
  <c r="H20"/>
  <c r="H19"/>
  <c r="H18"/>
  <c r="H16"/>
  <c r="H15"/>
  <c r="H3"/>
  <c r="D24" i="7"/>
  <c r="G23"/>
  <c r="H23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6"/>
  <c r="H23"/>
  <c r="G23"/>
  <c r="H22"/>
  <c r="G22"/>
  <c r="G21"/>
  <c r="H21" s="1"/>
  <c r="H19"/>
  <c r="H12"/>
  <c r="D24" i="5"/>
  <c r="H21"/>
  <c r="H20"/>
  <c r="H6"/>
  <c r="D24" i="4"/>
  <c r="G23"/>
  <c r="H23" s="1"/>
  <c r="G22"/>
  <c r="H22" s="1"/>
  <c r="G21"/>
  <c r="H21" s="1"/>
  <c r="G20"/>
  <c r="H20" s="1"/>
  <c r="G19"/>
  <c r="H19" s="1"/>
  <c r="G17"/>
  <c r="H17" s="1"/>
  <c r="G16"/>
  <c r="H16" s="1"/>
  <c r="G15"/>
  <c r="H15" s="1"/>
  <c r="G14"/>
  <c r="H14" s="1"/>
  <c r="G12"/>
  <c r="H12" s="1"/>
  <c r="G11"/>
  <c r="H11" s="1"/>
  <c r="G10"/>
  <c r="H10" s="1"/>
  <c r="G9"/>
  <c r="H9" s="1"/>
  <c r="G7"/>
  <c r="H7" s="1"/>
  <c r="G6"/>
  <c r="H6" s="1"/>
  <c r="G5"/>
  <c r="H5" s="1"/>
  <c r="G4"/>
  <c r="H4" s="1"/>
  <c r="G3"/>
  <c r="H3" s="1"/>
  <c r="G23" i="1"/>
  <c r="H23" s="1"/>
  <c r="D24" i="3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8"/>
  <c r="H8" s="1"/>
  <c r="G7"/>
  <c r="H7" s="1"/>
  <c r="G6"/>
  <c r="H6" s="1"/>
  <c r="G5"/>
  <c r="H5" s="1"/>
  <c r="G4"/>
  <c r="H4" s="1"/>
  <c r="G3"/>
  <c r="H3" s="1"/>
  <c r="D24" i="2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H13"/>
  <c r="G13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"/>
  <c r="H3" s="1"/>
  <c r="D24" i="1"/>
  <c r="B25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22"/>
  <c r="H22" s="1"/>
  <c r="B25" i="2" l="1"/>
  <c r="B25" i="3" s="1"/>
  <c r="B25" i="4" s="1"/>
  <c r="B25" i="5" s="1"/>
  <c r="B25" i="6" s="1"/>
  <c r="B25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<sst xmlns="http://schemas.openxmlformats.org/spreadsheetml/2006/main" count="269" uniqueCount="129">
  <si>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</si>
  <si>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</si>
  <si>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</si>
  <si>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</si>
  <si>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</si>
  <si>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</si>
  <si>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</si>
  <si>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</si>
  <si>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</si>
  <si>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</si>
  <si>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</si>
  <si>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</si>
  <si>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</si>
  <si>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</si>
  <si>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</si>
  <si>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</si>
  <si>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</si>
  <si>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</si>
  <si>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</si>
  <si>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Chinon Bournand Basses Messmé Ceaux</t>
  </si>
  <si>
    <t>Avoine Rivarenne Vallère</t>
  </si>
  <si>
    <t>Avoine Balade Club USEAB</t>
  </si>
  <si>
    <t>Chinon IB Rilly Tour St Gelin Champigny</t>
  </si>
  <si>
    <t>Chinon Chacé Brézé Pouant Roiffé</t>
  </si>
  <si>
    <t>Avoine Azay saché Nueil Cravant</t>
  </si>
  <si>
    <t>Chinon Restigné les essarts Avrillé</t>
  </si>
  <si>
    <t>Vent fort</t>
  </si>
  <si>
    <t>Seul</t>
  </si>
  <si>
    <t>Avoine Vernoil Blou Varenne</t>
  </si>
  <si>
    <t>Avoine Huismes</t>
  </si>
  <si>
    <t>Chinon Roiffé Montreuil Chacé</t>
  </si>
  <si>
    <t>Chinon Bournand St Léger Brézé</t>
  </si>
  <si>
    <t>Chinon Beuxes 3 Moutiers Douvy Bizay</t>
  </si>
  <si>
    <t xml:space="preserve">Avoine Gizeux Avrillé Langeais ST Benoit </t>
  </si>
  <si>
    <t>Chinon Courléon Blou Varennes</t>
  </si>
  <si>
    <t>Chinon Champigny La Motte B Bournand</t>
  </si>
  <si>
    <t>Chinon Bourgueil Avrillé langeais</t>
  </si>
  <si>
    <t>Balade Avoine turquant Evelyne</t>
  </si>
  <si>
    <t>vent EST soutenu</t>
  </si>
  <si>
    <t xml:space="preserve">Avoine Benais Avrillé Langeais ST Benoit </t>
  </si>
  <si>
    <t>Langeais Homme Rillé Parçay courléon</t>
  </si>
  <si>
    <t>Avoine Basses Insay Morton</t>
  </si>
  <si>
    <t>Chinon Azay IB Lémeré</t>
  </si>
  <si>
    <t>Avoine Basse Insay Morton Candes</t>
  </si>
  <si>
    <t>Chinon Chacé Montreuil Curçay</t>
  </si>
  <si>
    <t>Avoine Mazière Ingrandes</t>
  </si>
  <si>
    <t>Rando200 Ménigoute</t>
  </si>
  <si>
    <t>D+ 2128m</t>
  </si>
  <si>
    <t>Chinon Bourgueil les Essards Langeais</t>
  </si>
  <si>
    <t>Seul avec velo Evelyne</t>
  </si>
  <si>
    <t>Chinon Saumur Roumarson Douvy</t>
  </si>
  <si>
    <t>Avoine Azay Pont Ruan Nueil Chinon</t>
  </si>
  <si>
    <t>Chinon Sammarsolle Mont Guesne Ceaux</t>
  </si>
  <si>
    <t>Avoine Fontevraud Courchamps Meigné Munet</t>
  </si>
  <si>
    <t>Avoine Turquant</t>
  </si>
  <si>
    <t>Avoine Chaintre Chacé Morton</t>
  </si>
  <si>
    <t>Avoine</t>
  </si>
  <si>
    <t>Rando 300 Ménigoute</t>
  </si>
  <si>
    <t>Rando 200 St Georges</t>
  </si>
  <si>
    <t>Chinon St Epain nouatre Richelieu</t>
  </si>
  <si>
    <t>Chinon Richelieu  Luzé Champigny</t>
  </si>
  <si>
    <t>Audax 100 Chinon</t>
  </si>
  <si>
    <t>Chinon Montreuil Brion Curçay</t>
  </si>
  <si>
    <t>Rando 400 Ménigoute</t>
  </si>
  <si>
    <t>Essai éclair dynamo</t>
  </si>
  <si>
    <t>Dév +</t>
  </si>
  <si>
    <t>Rando 300 St Georges les Baillargeaux</t>
  </si>
  <si>
    <t>Avoine courléon La Breille Allonnes</t>
  </si>
  <si>
    <t>Chinon Courléon Rillé Ingrandes</t>
  </si>
  <si>
    <t>Sortie MOULIHERNE</t>
  </si>
  <si>
    <t>LECTOURE</t>
  </si>
  <si>
    <t>Avec Evelyne</t>
  </si>
  <si>
    <t>BRASSY MORVAN</t>
  </si>
  <si>
    <t>Chinon richelieu Luzé Marcilly IB</t>
  </si>
  <si>
    <t>Chinon Descartes Grd Pressigny Dangé</t>
  </si>
  <si>
    <t>Chinon Bourgueil Courléon Rillé</t>
  </si>
  <si>
    <t>Avoine Courléon St Philbert Allonnes</t>
  </si>
  <si>
    <t>Chinon Curçay epieds Montsoreau</t>
  </si>
  <si>
    <t>Chinon  Ingrandes HOMMES Langeais</t>
  </si>
  <si>
    <t>Avoine Vaudelnay Montfort Chacé</t>
  </si>
  <si>
    <t>Avoine Brain la petite breille St nicolas</t>
  </si>
  <si>
    <t>Avoine Marçay Sammarçolles ternay</t>
  </si>
  <si>
    <t>Chinon Beuxes Richelieu luzé IB</t>
  </si>
  <si>
    <t>Chinon St Epain St Maure Pouzay IB</t>
  </si>
  <si>
    <t>Avoine Vernoil Mouliherne Blou</t>
  </si>
  <si>
    <t>Chinon St Epain Pont Ruan Azay</t>
  </si>
  <si>
    <t>Chinon gizeux Langeais</t>
  </si>
  <si>
    <t>Avoine Courléon St philbert Allonnes</t>
  </si>
  <si>
    <t>Chinon Cravant Rivarenne vallère saché</t>
  </si>
  <si>
    <t>Avoine Langeais Gizeux</t>
  </si>
  <si>
    <t>Chinon 3Moutiers Arçay Rossay</t>
  </si>
  <si>
    <t>Avoine Marçay vallère Druye Saché</t>
  </si>
  <si>
    <t>St Nicolas Benais Langeais St Benoit</t>
  </si>
  <si>
    <t>Chinon Panzoult Cheillé Bréhémont</t>
  </si>
  <si>
    <t xml:space="preserve">Avoine Rigny St Benoit </t>
  </si>
  <si>
    <t>Chinon Fontevraud St Cyr la Motte Roiffé</t>
  </si>
  <si>
    <t>Avoine Quellay Pouant Maulay Basse</t>
  </si>
  <si>
    <t>Avoine Balade USEAB</t>
  </si>
  <si>
    <t>Chinon Bourgueil Les Essarts Langeais</t>
  </si>
  <si>
    <t>Chinon Richlieu Marigny IB</t>
  </si>
  <si>
    <t>Rando du Cardinal RICHELIEU</t>
  </si>
  <si>
    <t>Avoine ingrande Mazière Langeais</t>
  </si>
  <si>
    <t>Chinon Chacé Forge Montreuil Roiffé</t>
  </si>
  <si>
    <t>Chinon Villeoerdue courtineau Crouzille</t>
  </si>
  <si>
    <t>Avoine 3 Moutiers Verniers Couzier</t>
  </si>
  <si>
    <t>Chinon Lémeré Luzé Port nouatre Cravant</t>
  </si>
  <si>
    <t>Chinon 3 Moutiers Vrère Berry Roiffé</t>
  </si>
  <si>
    <t>AZAY Octobre ROSE</t>
  </si>
  <si>
    <t>Chinon 3 Moutiers Vrère Oiron Silly</t>
  </si>
  <si>
    <t>Chinon ingrande mazière St Etienne Langeais</t>
  </si>
  <si>
    <t>Avoine Benais Avrillé Langeais</t>
  </si>
  <si>
    <t>seul</t>
  </si>
  <si>
    <t>Avoine Rillé Mouliherne Vernoil Brain</t>
  </si>
  <si>
    <t>Avoine Rillé Mouliherne Blou Allonnes</t>
  </si>
  <si>
    <t>Avoine  les Loges Bourgueil</t>
  </si>
  <si>
    <t>Avoine Vallère Villandry bréhémont</t>
  </si>
  <si>
    <t>Avoine Gennes Verrie coudray Roiffé</t>
  </si>
  <si>
    <t>Avoine Bec du CHER</t>
  </si>
  <si>
    <t>Avoine Saché Panzoult Chinon</t>
  </si>
  <si>
    <t>Avoine Fontevraud Bournand Ceaux</t>
  </si>
  <si>
    <t>Avoine Allonne la breille Courléon</t>
  </si>
  <si>
    <t>Avoine Fontevraud 3 Moutiers Insay Basse Marçay</t>
  </si>
  <si>
    <t>Avoine Saix 3Moutiers Lerné</t>
  </si>
  <si>
    <t>vent et pluie</t>
  </si>
  <si>
    <t>Avoine Azay st Epain Crouzille Cravant</t>
  </si>
  <si>
    <t>Avoine Morton Montreuil bellay</t>
  </si>
  <si>
    <t>Avoine Montreuil Bellay</t>
  </si>
  <si>
    <t>Avoine Langeais Les Essarts</t>
  </si>
  <si>
    <t>Avoine Couziers Bournand Vézière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</si>
</sst>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16" fontId="0" fillId="0" borderId="0" xfId="0" applyNumberFormat="1"/>
    <xf numFmtId="0" fontId="0" fillId="0" borderId="0" xfId="0" applyFill="1"/>
    <xf numFmtId="0" fontId="3" fillId="0" borderId="0" xfId="0" applyFont="1"/>
    <xf numFmtId="0" fontId="2" fillId="0" borderId="6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NumberFormat="1" applyFill="1"/>
    <xf numFmtId="0" fontId="1" fillId="0" borderId="7" xfId="0" applyFont="1" applyBorder="1" applyAlignment="1"/>
    <xf numFmtId="0" fontId="1" fillId="0" borderId="7" xfId="0" applyFont="1" applyBorder="1" applyAlignment="1">
      <alignment horizontal="center"/>
    </xf>
    <xf numFmtId="16" fontId="0" fillId="0" borderId="1" xfId="0" applyNumberFormat="1" applyBorder="1"/>
    <xf numFmtId="164" fontId="2" fillId="0" borderId="8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/>
    <xf numFmtId="0" fontId="2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12" sqref="B12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10" width="18.5703125" customWidth="1"/>
  </cols>
  <sheetData>
    <row r="1" spans="1:9" ht="27" thickBot="1">
      <c r="A1" s="37" t="s">
        <v>7</v>
      </c>
      <c r="B1" s="37"/>
      <c r="C1" s="37"/>
      <c r="D1" s="37"/>
      <c r="E1" s="37"/>
      <c r="F1" s="37"/>
      <c r="G1" s="37"/>
      <c r="H1" s="32">
        <v>2018</v>
      </c>
      <c r="I1" s="31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14" t="s">
        <v>5</v>
      </c>
    </row>
    <row r="3" spans="1:9">
      <c r="A3" s="7">
        <v>43102</v>
      </c>
      <c r="B3" s="8" t="s">
        <v>19</v>
      </c>
      <c r="C3" s="8">
        <v>1</v>
      </c>
      <c r="D3" s="8">
        <v>72.5</v>
      </c>
      <c r="E3" s="9">
        <v>2</v>
      </c>
      <c r="F3" s="9">
        <v>50</v>
      </c>
      <c r="G3" s="8">
        <f>SUM(E3*60+F3)</f>
        <v>170</v>
      </c>
      <c r="H3" s="10">
        <f>SUM(D3/G3*60)</f>
        <v>25.588235294117645</v>
      </c>
      <c r="I3" s="8"/>
    </row>
    <row r="4" spans="1:9">
      <c r="A4" s="5">
        <v>43106</v>
      </c>
      <c r="B4" s="3" t="s">
        <v>20</v>
      </c>
      <c r="C4" s="8">
        <v>2</v>
      </c>
      <c r="D4" s="3">
        <v>63</v>
      </c>
      <c r="E4" s="6">
        <v>2</v>
      </c>
      <c r="F4" s="6">
        <v>30</v>
      </c>
      <c r="G4" s="3">
        <f t="shared" ref="G4:G23" si="0">SUM(E4*60+F4)</f>
        <v>150</v>
      </c>
      <c r="H4" s="4">
        <f t="shared" ref="H4:H23" si="1">SUM(D4/G4*60)</f>
        <v>25.2</v>
      </c>
      <c r="I4" s="3"/>
    </row>
    <row r="5" spans="1:9">
      <c r="A5" s="5">
        <v>43106</v>
      </c>
      <c r="B5" s="3" t="s">
        <v>21</v>
      </c>
      <c r="C5" s="8">
        <v>3</v>
      </c>
      <c r="D5" s="3">
        <v>25</v>
      </c>
      <c r="E5" s="6">
        <v>1</v>
      </c>
      <c r="F5" s="6">
        <v>20</v>
      </c>
      <c r="G5" s="3">
        <f t="shared" si="0"/>
        <v>80</v>
      </c>
      <c r="H5" s="4">
        <f t="shared" si="1"/>
        <v>18.75</v>
      </c>
      <c r="I5" s="3"/>
    </row>
    <row r="6" spans="1:9">
      <c r="A6" s="5">
        <v>43109</v>
      </c>
      <c r="B6" s="3" t="s">
        <v>22</v>
      </c>
      <c r="C6" s="8">
        <v>4</v>
      </c>
      <c r="D6" s="3">
        <v>87</v>
      </c>
      <c r="E6" s="6">
        <v>3</v>
      </c>
      <c r="F6" s="6">
        <v>50</v>
      </c>
      <c r="G6" s="3">
        <f t="shared" si="0"/>
        <v>230</v>
      </c>
      <c r="H6" s="4">
        <f t="shared" si="1"/>
        <v>22.695652173913043</v>
      </c>
      <c r="I6" s="8"/>
    </row>
    <row r="7" spans="1:9">
      <c r="A7" s="5">
        <v>43111</v>
      </c>
      <c r="B7" s="3" t="s">
        <v>23</v>
      </c>
      <c r="C7" s="8">
        <v>5</v>
      </c>
      <c r="D7" s="3">
        <v>96</v>
      </c>
      <c r="E7" s="6">
        <v>4</v>
      </c>
      <c r="F7" s="6">
        <v>0</v>
      </c>
      <c r="G7" s="3">
        <f t="shared" si="0"/>
        <v>240</v>
      </c>
      <c r="H7" s="4">
        <f t="shared" si="1"/>
        <v>24</v>
      </c>
      <c r="I7" s="8"/>
    </row>
    <row r="8" spans="1:9">
      <c r="A8" s="5">
        <v>43113</v>
      </c>
      <c r="B8" s="3" t="s">
        <v>24</v>
      </c>
      <c r="C8" s="8">
        <v>6</v>
      </c>
      <c r="D8" s="3">
        <v>75</v>
      </c>
      <c r="E8" s="6">
        <v>2</v>
      </c>
      <c r="F8" s="6">
        <v>44</v>
      </c>
      <c r="G8" s="3">
        <f t="shared" si="0"/>
        <v>164</v>
      </c>
      <c r="H8" s="4">
        <f t="shared" si="1"/>
        <v>27.439024390243905</v>
      </c>
      <c r="I8" s="3"/>
    </row>
    <row r="9" spans="1:9">
      <c r="A9" s="5">
        <v>43113</v>
      </c>
      <c r="B9" s="3" t="s">
        <v>21</v>
      </c>
      <c r="C9" s="8">
        <v>7</v>
      </c>
      <c r="D9" s="3">
        <v>18</v>
      </c>
      <c r="E9" s="6">
        <v>1</v>
      </c>
      <c r="F9" s="6">
        <v>0</v>
      </c>
      <c r="G9" s="3">
        <f t="shared" si="0"/>
        <v>60</v>
      </c>
      <c r="H9" s="4">
        <f t="shared" si="1"/>
        <v>18</v>
      </c>
      <c r="I9" s="3"/>
    </row>
    <row r="10" spans="1:9">
      <c r="A10" s="5">
        <v>43116</v>
      </c>
      <c r="B10" s="3" t="s">
        <v>25</v>
      </c>
      <c r="C10" s="8">
        <v>8</v>
      </c>
      <c r="D10" s="3">
        <v>90</v>
      </c>
      <c r="E10" s="6">
        <v>3</v>
      </c>
      <c r="F10" s="6">
        <v>55</v>
      </c>
      <c r="G10" s="3">
        <f t="shared" si="0"/>
        <v>235</v>
      </c>
      <c r="H10" s="4">
        <f t="shared" si="1"/>
        <v>22.978723404255319</v>
      </c>
      <c r="I10" s="3" t="s">
        <v>26</v>
      </c>
    </row>
    <row r="11" spans="1:9">
      <c r="A11" s="5">
        <v>43119</v>
      </c>
      <c r="B11" s="3" t="s">
        <v>25</v>
      </c>
      <c r="C11" s="8">
        <v>9</v>
      </c>
      <c r="D11" s="3">
        <v>81</v>
      </c>
      <c r="E11" s="6">
        <v>3</v>
      </c>
      <c r="F11" s="6">
        <v>17</v>
      </c>
      <c r="G11" s="3">
        <f t="shared" si="0"/>
        <v>197</v>
      </c>
      <c r="H11" s="4">
        <f t="shared" si="1"/>
        <v>24.670050761421322</v>
      </c>
      <c r="I11" s="3" t="s">
        <v>27</v>
      </c>
    </row>
    <row r="12" spans="1:9">
      <c r="A12" s="5">
        <v>43123</v>
      </c>
      <c r="B12" s="3" t="s">
        <v>35</v>
      </c>
      <c r="C12" s="8">
        <v>10</v>
      </c>
      <c r="D12" s="3">
        <v>92</v>
      </c>
      <c r="E12" s="6">
        <v>4</v>
      </c>
      <c r="F12" s="6">
        <v>0</v>
      </c>
      <c r="G12" s="3">
        <f t="shared" si="0"/>
        <v>240</v>
      </c>
      <c r="H12" s="4">
        <f t="shared" si="1"/>
        <v>23</v>
      </c>
      <c r="I12" s="3"/>
    </row>
    <row r="13" spans="1:9">
      <c r="A13" s="5">
        <v>43126</v>
      </c>
      <c r="B13" s="3" t="s">
        <v>29</v>
      </c>
      <c r="C13" s="8">
        <v>11</v>
      </c>
      <c r="D13" s="3">
        <v>26</v>
      </c>
      <c r="E13" s="6">
        <v>1</v>
      </c>
      <c r="F13" s="6">
        <v>20</v>
      </c>
      <c r="G13" s="3">
        <f t="shared" si="0"/>
        <v>80</v>
      </c>
      <c r="H13" s="4">
        <f t="shared" si="1"/>
        <v>19.5</v>
      </c>
      <c r="I13" s="3"/>
    </row>
    <row r="14" spans="1:9">
      <c r="A14" s="5">
        <v>43127</v>
      </c>
      <c r="B14" s="3" t="s">
        <v>28</v>
      </c>
      <c r="C14" s="8">
        <v>12</v>
      </c>
      <c r="D14" s="3">
        <v>74</v>
      </c>
      <c r="E14" s="6">
        <v>3</v>
      </c>
      <c r="F14" s="6">
        <v>17</v>
      </c>
      <c r="G14" s="3">
        <f t="shared" si="0"/>
        <v>197</v>
      </c>
      <c r="H14" s="4">
        <f t="shared" si="1"/>
        <v>22.538071065989847</v>
      </c>
      <c r="I14" s="3"/>
    </row>
    <row r="15" spans="1:9">
      <c r="A15" s="5">
        <v>43130</v>
      </c>
      <c r="B15" s="3" t="s">
        <v>30</v>
      </c>
      <c r="C15" s="8">
        <v>13</v>
      </c>
      <c r="D15" s="3">
        <v>102</v>
      </c>
      <c r="E15" s="6">
        <v>4</v>
      </c>
      <c r="F15" s="6">
        <v>22</v>
      </c>
      <c r="G15" s="3">
        <f t="shared" si="0"/>
        <v>262</v>
      </c>
      <c r="H15" s="4">
        <f t="shared" si="1"/>
        <v>23.358778625954198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901.5</v>
      </c>
    </row>
    <row r="25" spans="1:9">
      <c r="B25">
        <f>SUM(D24+0)</f>
        <v>901.5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E13" sqref="E13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7" t="s">
        <v>8</v>
      </c>
      <c r="B1" s="37"/>
      <c r="C1" s="37"/>
      <c r="D1" s="37"/>
      <c r="E1" s="37"/>
      <c r="F1" s="37"/>
      <c r="G1" s="37"/>
      <c r="H1" s="29">
        <f>SUM(Janv!H1)</f>
        <v>2018</v>
      </c>
      <c r="I1" s="29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14" t="s">
        <v>5</v>
      </c>
    </row>
    <row r="3" spans="1:9">
      <c r="A3" s="7">
        <v>43132</v>
      </c>
      <c r="B3" s="8" t="s">
        <v>31</v>
      </c>
      <c r="C3" s="8">
        <v>1</v>
      </c>
      <c r="D3" s="8">
        <v>92</v>
      </c>
      <c r="E3" s="9">
        <v>3</v>
      </c>
      <c r="F3" s="9">
        <v>55</v>
      </c>
      <c r="G3" s="8">
        <f>SUM(E3*60+F3)</f>
        <v>235</v>
      </c>
      <c r="H3" s="10">
        <f>SUM(D3/G3*60)</f>
        <v>23.48936170212766</v>
      </c>
      <c r="I3" s="8"/>
    </row>
    <row r="4" spans="1:9">
      <c r="A4" s="5">
        <v>43139</v>
      </c>
      <c r="B4" s="3" t="s">
        <v>32</v>
      </c>
      <c r="C4" s="8">
        <v>2</v>
      </c>
      <c r="D4" s="3">
        <v>86</v>
      </c>
      <c r="E4" s="6">
        <v>3</v>
      </c>
      <c r="F4" s="6">
        <v>27</v>
      </c>
      <c r="G4" s="3">
        <f t="shared" ref="G4:G23" si="0">SUM(E4*60+F4)</f>
        <v>207</v>
      </c>
      <c r="H4" s="4">
        <f t="shared" ref="H4:H23" si="1">SUM(D4/G4*60)</f>
        <v>24.927536231884059</v>
      </c>
      <c r="I4" s="3"/>
    </row>
    <row r="5" spans="1:9">
      <c r="A5" s="5">
        <v>43147</v>
      </c>
      <c r="B5" s="3" t="s">
        <v>33</v>
      </c>
      <c r="C5" s="8">
        <v>3</v>
      </c>
      <c r="D5" s="3">
        <v>83</v>
      </c>
      <c r="E5" s="6">
        <v>3</v>
      </c>
      <c r="F5" s="6">
        <v>21</v>
      </c>
      <c r="G5" s="3">
        <f t="shared" si="0"/>
        <v>201</v>
      </c>
      <c r="H5" s="4">
        <f t="shared" si="1"/>
        <v>24.776119402985074</v>
      </c>
      <c r="I5" s="3"/>
    </row>
    <row r="6" spans="1:9">
      <c r="A6" s="5">
        <v>43151</v>
      </c>
      <c r="B6" s="3" t="s">
        <v>34</v>
      </c>
      <c r="C6" s="8">
        <v>4</v>
      </c>
      <c r="D6" s="3">
        <v>96</v>
      </c>
      <c r="E6" s="6">
        <v>3</v>
      </c>
      <c r="F6" s="6">
        <v>56</v>
      </c>
      <c r="G6" s="3">
        <f t="shared" si="0"/>
        <v>236</v>
      </c>
      <c r="H6" s="4">
        <f t="shared" si="1"/>
        <v>24.406779661016952</v>
      </c>
      <c r="I6" s="3"/>
    </row>
    <row r="7" spans="1:9">
      <c r="A7" s="5">
        <v>43153</v>
      </c>
      <c r="B7" s="3" t="s">
        <v>36</v>
      </c>
      <c r="C7" s="8">
        <v>5</v>
      </c>
      <c r="D7" s="3">
        <v>99</v>
      </c>
      <c r="E7" s="6">
        <v>4</v>
      </c>
      <c r="F7" s="6">
        <v>10</v>
      </c>
      <c r="G7" s="3">
        <f t="shared" si="0"/>
        <v>250</v>
      </c>
      <c r="H7" s="4">
        <f t="shared" si="1"/>
        <v>23.76</v>
      </c>
      <c r="I7" s="3"/>
    </row>
    <row r="8" spans="1:9">
      <c r="A8" s="5">
        <v>43155</v>
      </c>
      <c r="B8" s="3" t="s">
        <v>39</v>
      </c>
      <c r="C8" s="8">
        <v>6</v>
      </c>
      <c r="D8" s="3">
        <v>74</v>
      </c>
      <c r="E8" s="6">
        <v>3</v>
      </c>
      <c r="F8" s="6">
        <v>3</v>
      </c>
      <c r="G8" s="3">
        <f t="shared" si="0"/>
        <v>183</v>
      </c>
      <c r="H8" s="4">
        <f t="shared" si="1"/>
        <v>24.262295081967213</v>
      </c>
      <c r="I8" s="3"/>
    </row>
    <row r="9" spans="1:9">
      <c r="A9" s="5">
        <v>43155</v>
      </c>
      <c r="B9" s="3" t="s">
        <v>37</v>
      </c>
      <c r="C9" s="8">
        <v>7</v>
      </c>
      <c r="D9" s="3">
        <v>28</v>
      </c>
      <c r="E9" s="6">
        <v>1</v>
      </c>
      <c r="F9" s="6">
        <v>24</v>
      </c>
      <c r="G9" s="3">
        <f t="shared" si="0"/>
        <v>84</v>
      </c>
      <c r="H9" s="4">
        <f t="shared" si="1"/>
        <v>20</v>
      </c>
      <c r="I9" s="3" t="s">
        <v>38</v>
      </c>
    </row>
    <row r="10" spans="1:9">
      <c r="A10" s="5"/>
      <c r="B10" s="3"/>
      <c r="C10" s="8">
        <v>8</v>
      </c>
      <c r="D10" s="3"/>
      <c r="E10" s="6"/>
      <c r="F10" s="6"/>
      <c r="G10" s="3">
        <f t="shared" si="0"/>
        <v>0</v>
      </c>
      <c r="H10" s="4" t="e">
        <f t="shared" si="1"/>
        <v>#DIV/0!</v>
      </c>
      <c r="I10" s="3"/>
    </row>
    <row r="11" spans="1:9">
      <c r="A11" s="5"/>
      <c r="B11" s="3"/>
      <c r="C11" s="8">
        <v>9</v>
      </c>
      <c r="D11" s="3"/>
      <c r="E11" s="6"/>
      <c r="F11" s="6"/>
      <c r="G11" s="3">
        <f t="shared" si="0"/>
        <v>0</v>
      </c>
      <c r="H11" s="4" t="e">
        <f t="shared" si="1"/>
        <v>#DIV/0!</v>
      </c>
      <c r="I11" s="3"/>
    </row>
    <row r="12" spans="1:9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3"/>
    </row>
    <row r="13" spans="1:9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8"/>
    </row>
    <row r="14" spans="1:9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3"/>
    </row>
    <row r="15" spans="1:9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3"/>
    </row>
    <row r="16" spans="1:9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558</v>
      </c>
    </row>
    <row r="25" spans="1:9">
      <c r="B25">
        <f>SUM(Janv!B25+Fév!D24)</f>
        <v>1459.5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B7" sqref="B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42578125" style="2"/>
    <col min="9" max="9" width="18.5703125" customWidth="1"/>
  </cols>
  <sheetData>
    <row r="1" spans="1:9" ht="27" thickBot="1">
      <c r="A1" s="37" t="s">
        <v>9</v>
      </c>
      <c r="B1" s="37"/>
      <c r="C1" s="37"/>
      <c r="D1" s="37"/>
      <c r="E1" s="37"/>
      <c r="F1" s="37"/>
      <c r="G1" s="37"/>
      <c r="H1" s="29">
        <f>SUM(Janv!H1)</f>
        <v>2018</v>
      </c>
      <c r="I1" s="29"/>
    </row>
    <row r="2" spans="1:9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14" t="s">
        <v>5</v>
      </c>
    </row>
    <row r="3" spans="1:9">
      <c r="A3" s="7">
        <v>43161</v>
      </c>
      <c r="B3" s="8" t="s">
        <v>40</v>
      </c>
      <c r="C3" s="8">
        <v>1</v>
      </c>
      <c r="D3" s="8">
        <v>85</v>
      </c>
      <c r="E3" s="9">
        <v>3</v>
      </c>
      <c r="F3" s="9">
        <v>27</v>
      </c>
      <c r="G3" s="8">
        <f>SUM(E3*60+F3)</f>
        <v>207</v>
      </c>
      <c r="H3" s="10">
        <f>SUM(D3/G3*60)</f>
        <v>24.637681159420289</v>
      </c>
      <c r="I3" s="8"/>
    </row>
    <row r="4" spans="1:9">
      <c r="A4" s="5">
        <v>43162</v>
      </c>
      <c r="B4" s="3" t="s">
        <v>41</v>
      </c>
      <c r="C4" s="8">
        <v>2</v>
      </c>
      <c r="D4" s="3">
        <v>72</v>
      </c>
      <c r="E4" s="6">
        <v>2</v>
      </c>
      <c r="F4" s="6">
        <v>56</v>
      </c>
      <c r="G4" s="3">
        <f t="shared" ref="G4:G23" si="0">SUM(E4*60+F4)</f>
        <v>176</v>
      </c>
      <c r="H4" s="4">
        <f t="shared" ref="H4:H23" si="1">SUM(D4/G4*60)</f>
        <v>24.545454545454547</v>
      </c>
      <c r="I4" s="3"/>
    </row>
    <row r="5" spans="1:9">
      <c r="A5" s="5">
        <v>43165</v>
      </c>
      <c r="B5" s="3" t="s">
        <v>42</v>
      </c>
      <c r="C5" s="8">
        <v>3</v>
      </c>
      <c r="D5" s="3">
        <v>90</v>
      </c>
      <c r="E5" s="6">
        <v>3</v>
      </c>
      <c r="F5" s="6">
        <v>58</v>
      </c>
      <c r="G5" s="3">
        <f t="shared" si="0"/>
        <v>238</v>
      </c>
      <c r="H5" s="4">
        <f t="shared" si="1"/>
        <v>22.689075630252098</v>
      </c>
      <c r="I5" s="3"/>
    </row>
    <row r="6" spans="1:9">
      <c r="A6" s="5">
        <v>43169</v>
      </c>
      <c r="B6" s="3" t="s">
        <v>43</v>
      </c>
      <c r="C6" s="8">
        <v>4</v>
      </c>
      <c r="D6" s="3">
        <v>81</v>
      </c>
      <c r="E6" s="6">
        <v>3</v>
      </c>
      <c r="F6" s="6">
        <v>17</v>
      </c>
      <c r="G6" s="3">
        <f t="shared" si="0"/>
        <v>197</v>
      </c>
      <c r="H6" s="4">
        <f t="shared" si="1"/>
        <v>24.670050761421322</v>
      </c>
      <c r="I6" s="3"/>
    </row>
    <row r="7" spans="1:9">
      <c r="A7" s="5">
        <v>43169</v>
      </c>
      <c r="B7" s="3" t="s">
        <v>21</v>
      </c>
      <c r="C7" s="8">
        <v>5</v>
      </c>
      <c r="D7" s="3">
        <v>24</v>
      </c>
      <c r="E7" s="6">
        <v>1</v>
      </c>
      <c r="F7" s="6">
        <v>43</v>
      </c>
      <c r="G7" s="3">
        <f t="shared" si="0"/>
        <v>103</v>
      </c>
      <c r="H7" s="4">
        <f t="shared" si="1"/>
        <v>13.980582524271846</v>
      </c>
      <c r="I7" s="3"/>
    </row>
    <row r="8" spans="1:9">
      <c r="A8" s="5">
        <v>43172</v>
      </c>
      <c r="B8" s="3" t="s">
        <v>44</v>
      </c>
      <c r="C8" s="8">
        <v>6</v>
      </c>
      <c r="D8" s="3">
        <v>121</v>
      </c>
      <c r="E8" s="6">
        <v>4</v>
      </c>
      <c r="F8" s="6">
        <v>50</v>
      </c>
      <c r="G8" s="3">
        <f t="shared" si="0"/>
        <v>290</v>
      </c>
      <c r="H8" s="4">
        <f t="shared" si="1"/>
        <v>25.03448275862069</v>
      </c>
      <c r="I8" s="3"/>
    </row>
    <row r="9" spans="1:9">
      <c r="A9" s="5">
        <v>43173</v>
      </c>
      <c r="B9" s="3" t="s">
        <v>45</v>
      </c>
      <c r="C9" s="8">
        <v>7</v>
      </c>
      <c r="D9" s="3">
        <v>72</v>
      </c>
      <c r="E9" s="6">
        <v>2</v>
      </c>
      <c r="F9" s="6">
        <v>48</v>
      </c>
      <c r="G9" s="3">
        <f t="shared" si="0"/>
        <v>168</v>
      </c>
      <c r="H9" s="4">
        <f t="shared" si="1"/>
        <v>25.714285714285712</v>
      </c>
      <c r="I9" s="3"/>
    </row>
    <row r="10" spans="1:9">
      <c r="A10" s="5">
        <v>43176</v>
      </c>
      <c r="B10" s="3" t="s">
        <v>46</v>
      </c>
      <c r="C10" s="8">
        <v>8</v>
      </c>
      <c r="D10" s="3">
        <v>205</v>
      </c>
      <c r="E10" s="6">
        <v>8</v>
      </c>
      <c r="F10" s="6">
        <v>24</v>
      </c>
      <c r="G10" s="3">
        <f t="shared" si="0"/>
        <v>504</v>
      </c>
      <c r="H10" s="4">
        <f t="shared" si="1"/>
        <v>24.404761904761905</v>
      </c>
      <c r="I10" s="3" t="s">
        <v>47</v>
      </c>
    </row>
    <row r="11" spans="1:9">
      <c r="A11" s="5">
        <v>43179</v>
      </c>
      <c r="B11" s="3" t="s">
        <v>48</v>
      </c>
      <c r="C11" s="8">
        <v>9</v>
      </c>
      <c r="D11" s="3">
        <v>76</v>
      </c>
      <c r="E11" s="6">
        <v>3</v>
      </c>
      <c r="F11" s="6">
        <v>20</v>
      </c>
      <c r="G11" s="3">
        <f t="shared" si="0"/>
        <v>200</v>
      </c>
      <c r="H11" s="4">
        <f t="shared" si="1"/>
        <v>22.8</v>
      </c>
      <c r="I11" s="3" t="s">
        <v>49</v>
      </c>
    </row>
    <row r="12" spans="1:9">
      <c r="A12" s="5">
        <v>43181</v>
      </c>
      <c r="B12" s="3" t="s">
        <v>50</v>
      </c>
      <c r="C12" s="8">
        <v>10</v>
      </c>
      <c r="D12" s="3">
        <v>90</v>
      </c>
      <c r="E12" s="6">
        <v>3</v>
      </c>
      <c r="F12" s="6">
        <v>53</v>
      </c>
      <c r="G12" s="3">
        <f t="shared" si="0"/>
        <v>233</v>
      </c>
      <c r="H12" s="4">
        <f t="shared" si="1"/>
        <v>23.175965665236049</v>
      </c>
      <c r="I12" s="3"/>
    </row>
    <row r="13" spans="1:9">
      <c r="A13" s="5">
        <v>43183</v>
      </c>
      <c r="B13" s="3" t="s">
        <v>51</v>
      </c>
      <c r="C13" s="8">
        <v>11</v>
      </c>
      <c r="D13" s="3">
        <v>83</v>
      </c>
      <c r="E13" s="6">
        <v>3</v>
      </c>
      <c r="F13" s="6">
        <v>28</v>
      </c>
      <c r="G13" s="3">
        <f t="shared" si="0"/>
        <v>208</v>
      </c>
      <c r="H13" s="4">
        <f t="shared" si="1"/>
        <v>23.942307692307693</v>
      </c>
      <c r="I13" s="8"/>
    </row>
    <row r="14" spans="1:9">
      <c r="A14" s="5">
        <v>43188</v>
      </c>
      <c r="B14" s="3" t="s">
        <v>52</v>
      </c>
      <c r="C14" s="8">
        <v>12</v>
      </c>
      <c r="D14" s="3">
        <v>90</v>
      </c>
      <c r="E14" s="6">
        <v>3</v>
      </c>
      <c r="F14" s="6">
        <v>55</v>
      </c>
      <c r="G14" s="3">
        <f t="shared" si="0"/>
        <v>235</v>
      </c>
      <c r="H14" s="4">
        <f t="shared" si="1"/>
        <v>22.978723404255319</v>
      </c>
      <c r="I14" s="3"/>
    </row>
    <row r="15" spans="1:9">
      <c r="A15" s="5">
        <v>43190</v>
      </c>
      <c r="B15" s="3" t="s">
        <v>53</v>
      </c>
      <c r="C15" s="8">
        <v>13</v>
      </c>
      <c r="D15" s="3">
        <v>81</v>
      </c>
      <c r="E15" s="6">
        <v>3</v>
      </c>
      <c r="F15" s="6">
        <v>24</v>
      </c>
      <c r="G15" s="3">
        <f t="shared" si="0"/>
        <v>204</v>
      </c>
      <c r="H15" s="4">
        <f t="shared" si="1"/>
        <v>23.823529411764703</v>
      </c>
      <c r="I15" s="8"/>
    </row>
    <row r="16" spans="1:9">
      <c r="A16" s="5">
        <v>43190</v>
      </c>
      <c r="B16" s="3" t="s">
        <v>54</v>
      </c>
      <c r="C16" s="8">
        <v>14</v>
      </c>
      <c r="D16" s="3">
        <v>13</v>
      </c>
      <c r="E16" s="6">
        <v>0</v>
      </c>
      <c r="F16" s="6">
        <v>34</v>
      </c>
      <c r="G16" s="3">
        <f t="shared" si="0"/>
        <v>34</v>
      </c>
      <c r="H16" s="4">
        <f t="shared" si="1"/>
        <v>22.941176470588232</v>
      </c>
      <c r="I16" s="3"/>
    </row>
    <row r="17" spans="1:9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3"/>
    </row>
    <row r="18" spans="1:9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3"/>
    </row>
    <row r="19" spans="1:9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3"/>
    </row>
    <row r="20" spans="1:9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3"/>
    </row>
    <row r="21" spans="1:9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3"/>
    </row>
    <row r="22" spans="1:9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3"/>
    </row>
    <row r="23" spans="1:9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3"/>
    </row>
    <row r="24" spans="1:9">
      <c r="D24">
        <f>SUM(D3:D23)</f>
        <v>1183</v>
      </c>
    </row>
    <row r="25" spans="1:9">
      <c r="B25">
        <f>SUM(Fév!B25+Mar!D24)</f>
        <v>2642.5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J28" sqref="J28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10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7">
        <v>43193</v>
      </c>
      <c r="B3" s="8" t="s">
        <v>55</v>
      </c>
      <c r="C3" s="8">
        <v>1</v>
      </c>
      <c r="D3" s="8">
        <v>76</v>
      </c>
      <c r="E3" s="9">
        <v>3</v>
      </c>
      <c r="F3" s="9">
        <v>7</v>
      </c>
      <c r="G3" s="8">
        <f>SUM(E3*60+F3)</f>
        <v>187</v>
      </c>
      <c r="H3" s="10">
        <f>SUM(D3/G3*60)</f>
        <v>24.385026737967916</v>
      </c>
      <c r="I3" s="10">
        <v>179</v>
      </c>
      <c r="J3" s="8"/>
    </row>
    <row r="4" spans="1:10">
      <c r="A4" s="5">
        <v>43196</v>
      </c>
      <c r="B4" s="3" t="s">
        <v>56</v>
      </c>
      <c r="C4" s="8">
        <v>2</v>
      </c>
      <c r="D4" s="3">
        <v>14</v>
      </c>
      <c r="E4" s="6">
        <v>0</v>
      </c>
      <c r="F4" s="6">
        <v>42</v>
      </c>
      <c r="G4" s="3">
        <f t="shared" ref="G4:G23" si="0">SUM(E4*60+F4)</f>
        <v>42</v>
      </c>
      <c r="H4" s="4">
        <f t="shared" ref="H4:H23" si="1">SUM(D4/G4*60)</f>
        <v>20</v>
      </c>
      <c r="I4" s="4"/>
      <c r="J4" s="3" t="s">
        <v>64</v>
      </c>
    </row>
    <row r="5" spans="1:10">
      <c r="A5" s="5">
        <v>43197</v>
      </c>
      <c r="B5" s="3" t="s">
        <v>57</v>
      </c>
      <c r="C5" s="8">
        <v>3</v>
      </c>
      <c r="D5" s="3">
        <v>303</v>
      </c>
      <c r="E5" s="6">
        <v>13</v>
      </c>
      <c r="F5" s="6">
        <v>14</v>
      </c>
      <c r="G5" s="3">
        <f t="shared" si="0"/>
        <v>794</v>
      </c>
      <c r="H5" s="4">
        <f t="shared" si="1"/>
        <v>22.896725440806048</v>
      </c>
      <c r="I5" s="4">
        <v>2130</v>
      </c>
      <c r="J5" s="3"/>
    </row>
    <row r="6" spans="1:10">
      <c r="A6" s="5">
        <v>43204</v>
      </c>
      <c r="B6" s="3" t="s">
        <v>58</v>
      </c>
      <c r="C6" s="8">
        <v>4</v>
      </c>
      <c r="D6" s="3">
        <v>210</v>
      </c>
      <c r="E6" s="6">
        <v>8</v>
      </c>
      <c r="F6" s="6">
        <v>45</v>
      </c>
      <c r="G6" s="3">
        <f t="shared" si="0"/>
        <v>525</v>
      </c>
      <c r="H6" s="4">
        <f t="shared" si="1"/>
        <v>24</v>
      </c>
      <c r="I6" s="4">
        <v>1380</v>
      </c>
      <c r="J6" s="3"/>
    </row>
    <row r="7" spans="1:10">
      <c r="A7" s="5">
        <v>43207</v>
      </c>
      <c r="B7" s="3" t="s">
        <v>60</v>
      </c>
      <c r="C7" s="8">
        <v>5</v>
      </c>
      <c r="D7" s="3">
        <v>100</v>
      </c>
      <c r="E7" s="6">
        <v>4</v>
      </c>
      <c r="F7" s="6">
        <v>2</v>
      </c>
      <c r="G7" s="3">
        <f t="shared" si="0"/>
        <v>242</v>
      </c>
      <c r="H7" s="4">
        <f t="shared" si="1"/>
        <v>24.793388429752067</v>
      </c>
      <c r="I7" s="4">
        <v>345</v>
      </c>
      <c r="J7" s="3"/>
    </row>
    <row r="8" spans="1:10">
      <c r="A8" s="16">
        <v>43209</v>
      </c>
      <c r="B8" s="15" t="s">
        <v>59</v>
      </c>
      <c r="C8" s="17">
        <v>6</v>
      </c>
      <c r="D8" s="15">
        <v>109</v>
      </c>
      <c r="E8" s="18">
        <v>4</v>
      </c>
      <c r="F8" s="18">
        <v>35</v>
      </c>
      <c r="G8" s="15">
        <f t="shared" si="0"/>
        <v>275</v>
      </c>
      <c r="H8" s="19">
        <f t="shared" si="1"/>
        <v>23.781818181818181</v>
      </c>
      <c r="I8" s="19">
        <v>354</v>
      </c>
      <c r="J8" s="15"/>
    </row>
    <row r="9" spans="1:10">
      <c r="A9" s="16">
        <v>43211</v>
      </c>
      <c r="B9" s="15" t="s">
        <v>61</v>
      </c>
      <c r="C9" s="17">
        <v>7</v>
      </c>
      <c r="D9" s="15">
        <v>120</v>
      </c>
      <c r="E9" s="18">
        <v>4</v>
      </c>
      <c r="F9" s="18">
        <v>52</v>
      </c>
      <c r="G9" s="15">
        <f t="shared" si="0"/>
        <v>292</v>
      </c>
      <c r="H9" s="19">
        <f t="shared" si="1"/>
        <v>24.657534246575342</v>
      </c>
      <c r="I9" s="19">
        <v>483</v>
      </c>
      <c r="J9" s="15"/>
    </row>
    <row r="10" spans="1:10">
      <c r="A10" s="16">
        <v>43211</v>
      </c>
      <c r="B10" s="3" t="s">
        <v>21</v>
      </c>
      <c r="C10" s="17">
        <v>8</v>
      </c>
      <c r="D10" s="15">
        <v>27</v>
      </c>
      <c r="E10" s="18">
        <v>1</v>
      </c>
      <c r="F10" s="18">
        <v>35</v>
      </c>
      <c r="G10" s="15">
        <f t="shared" si="0"/>
        <v>95</v>
      </c>
      <c r="H10" s="19">
        <f t="shared" si="1"/>
        <v>17.05263157894737</v>
      </c>
      <c r="I10" s="19"/>
      <c r="J10" s="15"/>
    </row>
    <row r="11" spans="1:10">
      <c r="A11" s="16">
        <v>43214</v>
      </c>
      <c r="B11" s="15" t="s">
        <v>62</v>
      </c>
      <c r="C11" s="17">
        <v>9</v>
      </c>
      <c r="D11" s="15">
        <v>111</v>
      </c>
      <c r="E11" s="18">
        <v>4</v>
      </c>
      <c r="F11" s="18">
        <v>38</v>
      </c>
      <c r="G11" s="15">
        <f t="shared" si="0"/>
        <v>278</v>
      </c>
      <c r="H11" s="19">
        <f t="shared" si="1"/>
        <v>23.956834532374103</v>
      </c>
      <c r="I11" s="19">
        <v>376</v>
      </c>
      <c r="J11" s="15"/>
    </row>
    <row r="12" spans="1:10">
      <c r="A12" s="16">
        <v>43218</v>
      </c>
      <c r="B12" s="15" t="s">
        <v>63</v>
      </c>
      <c r="C12" s="17">
        <v>10</v>
      </c>
      <c r="D12" s="15">
        <v>401</v>
      </c>
      <c r="E12" s="18">
        <v>17</v>
      </c>
      <c r="F12" s="18">
        <v>31</v>
      </c>
      <c r="G12" s="15">
        <f t="shared" si="0"/>
        <v>1051</v>
      </c>
      <c r="H12" s="19">
        <f t="shared" si="1"/>
        <v>22.892483349191245</v>
      </c>
      <c r="I12" s="19">
        <v>2391</v>
      </c>
      <c r="J12" s="15"/>
    </row>
    <row r="13" spans="1:10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33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1471</v>
      </c>
      <c r="I24" s="2">
        <f>SUM(I3:I23)</f>
        <v>7638</v>
      </c>
    </row>
    <row r="25" spans="1:10">
      <c r="B25">
        <f>SUM(Mar!B25+Avr!D24)</f>
        <v>4113.5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howOutlineSymbols="0"/>
  </sheetPr>
  <dimension ref="A1:L25"/>
  <sheetViews>
    <sheetView showOutlineSymbols="0" workbookViewId="0">
      <selection activeCell="J20" sqref="J20"/>
    </sheetView>
  </sheetViews>
  <sheetFormatPr baseColWidth="10" defaultRowHeight="15" outlineLevelRow="1" outlineLevelCol="2"/>
  <cols>
    <col min="2" max="2" width="34.28515625" customWidth="1"/>
    <col min="3" max="3" width="4" customWidth="1"/>
    <col min="4" max="4" width="12" customWidth="1" outlineLevel="1"/>
    <col min="5" max="5" width="5.7109375" style="1" customWidth="1" outlineLevel="2"/>
    <col min="6" max="6" width="5.85546875" customWidth="1" outlineLevel="2"/>
    <col min="7" max="7" width="5.7109375" customWidth="1" outlineLevel="1"/>
    <col min="8" max="9" width="11.42578125" style="2"/>
    <col min="10" max="10" width="18.5703125" customWidth="1"/>
  </cols>
  <sheetData>
    <row r="1" spans="1:12" ht="27" thickBot="1">
      <c r="A1" s="37" t="s">
        <v>11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2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2" outlineLevel="1">
      <c r="A3" s="7">
        <v>43225</v>
      </c>
      <c r="B3" s="8" t="s">
        <v>66</v>
      </c>
      <c r="C3" s="8">
        <v>1</v>
      </c>
      <c r="D3" s="8">
        <v>304</v>
      </c>
      <c r="E3" s="9">
        <v>13</v>
      </c>
      <c r="F3" s="9">
        <v>5</v>
      </c>
      <c r="G3" s="8">
        <f>SUM(E3*60+F3)</f>
        <v>785</v>
      </c>
      <c r="H3" s="10">
        <f>SUM(D3/G3*60)</f>
        <v>23.235668789808919</v>
      </c>
      <c r="I3" s="10">
        <v>1703</v>
      </c>
      <c r="J3" s="8"/>
    </row>
    <row r="4" spans="1:12" outlineLevel="1">
      <c r="A4" s="5">
        <v>43230</v>
      </c>
      <c r="B4" s="3" t="s">
        <v>67</v>
      </c>
      <c r="C4" s="8">
        <v>2</v>
      </c>
      <c r="D4" s="3">
        <v>81</v>
      </c>
      <c r="E4" s="6">
        <v>3</v>
      </c>
      <c r="F4" s="6">
        <v>15</v>
      </c>
      <c r="G4" s="3">
        <f t="shared" ref="G4:G23" si="0">SUM(E4*60+F4)</f>
        <v>195</v>
      </c>
      <c r="H4" s="4">
        <f t="shared" ref="H4:H23" si="1">SUM(D4/G4*60)</f>
        <v>24.923076923076923</v>
      </c>
      <c r="I4" s="4">
        <v>316</v>
      </c>
      <c r="J4" s="3"/>
    </row>
    <row r="5" spans="1:12" outlineLevel="1">
      <c r="A5" s="16">
        <v>43235</v>
      </c>
      <c r="B5" t="s">
        <v>68</v>
      </c>
      <c r="C5" s="17">
        <v>3</v>
      </c>
      <c r="D5" s="15">
        <v>104</v>
      </c>
      <c r="E5" s="18">
        <v>4</v>
      </c>
      <c r="F5" s="18">
        <v>10</v>
      </c>
      <c r="G5" s="15">
        <f t="shared" si="0"/>
        <v>250</v>
      </c>
      <c r="H5" s="19">
        <f t="shared" si="1"/>
        <v>24.959999999999997</v>
      </c>
      <c r="I5" s="19">
        <v>424</v>
      </c>
      <c r="J5" s="15"/>
    </row>
    <row r="6" spans="1:12" outlineLevel="1">
      <c r="A6" s="16">
        <v>43237</v>
      </c>
      <c r="B6" s="15" t="s">
        <v>69</v>
      </c>
      <c r="C6" s="17">
        <v>4</v>
      </c>
      <c r="D6" s="15">
        <v>141</v>
      </c>
      <c r="E6" s="18">
        <v>5</v>
      </c>
      <c r="F6" s="18">
        <v>59</v>
      </c>
      <c r="G6" s="15">
        <f t="shared" si="0"/>
        <v>359</v>
      </c>
      <c r="H6" s="19">
        <f t="shared" si="1"/>
        <v>23.565459610027855</v>
      </c>
      <c r="I6" s="19">
        <v>420</v>
      </c>
      <c r="J6" s="15"/>
    </row>
    <row r="7" spans="1:12" outlineLevel="1">
      <c r="A7" s="16">
        <v>43239</v>
      </c>
      <c r="B7" s="15" t="s">
        <v>70</v>
      </c>
      <c r="C7" s="17">
        <v>5</v>
      </c>
      <c r="D7" s="15">
        <v>41</v>
      </c>
      <c r="E7" s="18">
        <v>2</v>
      </c>
      <c r="F7" s="18">
        <v>21</v>
      </c>
      <c r="G7" s="15">
        <f t="shared" si="0"/>
        <v>141</v>
      </c>
      <c r="H7" s="19">
        <f t="shared" si="1"/>
        <v>17.446808510638295</v>
      </c>
      <c r="I7" s="19">
        <v>604</v>
      </c>
      <c r="J7" s="15" t="s">
        <v>71</v>
      </c>
    </row>
    <row r="8" spans="1:12" outlineLevel="1">
      <c r="A8" s="16">
        <v>43240</v>
      </c>
      <c r="B8" s="15" t="s">
        <v>70</v>
      </c>
      <c r="C8" s="17">
        <v>6</v>
      </c>
      <c r="D8" s="15">
        <v>36</v>
      </c>
      <c r="E8" s="18">
        <v>2</v>
      </c>
      <c r="F8" s="18">
        <v>14</v>
      </c>
      <c r="G8" s="15">
        <f t="shared" si="0"/>
        <v>134</v>
      </c>
      <c r="H8" s="19">
        <f t="shared" si="1"/>
        <v>16.119402985074625</v>
      </c>
      <c r="I8" s="19">
        <v>500</v>
      </c>
      <c r="J8" s="15" t="s">
        <v>71</v>
      </c>
    </row>
    <row r="9" spans="1:12" outlineLevel="1">
      <c r="A9" s="16">
        <v>43241</v>
      </c>
      <c r="B9" s="15" t="s">
        <v>70</v>
      </c>
      <c r="C9" s="17">
        <v>7</v>
      </c>
      <c r="D9" s="15">
        <v>36</v>
      </c>
      <c r="E9" s="18">
        <v>1</v>
      </c>
      <c r="F9" s="18">
        <v>34</v>
      </c>
      <c r="G9" s="15">
        <f t="shared" si="0"/>
        <v>94</v>
      </c>
      <c r="H9" s="19">
        <f t="shared" si="1"/>
        <v>22.978723404255319</v>
      </c>
      <c r="I9" s="19">
        <v>450</v>
      </c>
      <c r="J9" s="15"/>
      <c r="L9" s="23"/>
    </row>
    <row r="10" spans="1:12" outlineLevel="1">
      <c r="A10" s="16">
        <v>43242</v>
      </c>
      <c r="B10" s="15" t="s">
        <v>70</v>
      </c>
      <c r="C10" s="17">
        <v>8</v>
      </c>
      <c r="D10" s="15">
        <v>49</v>
      </c>
      <c r="E10" s="18">
        <v>2</v>
      </c>
      <c r="F10" s="18">
        <v>26</v>
      </c>
      <c r="G10" s="15">
        <f t="shared" si="0"/>
        <v>146</v>
      </c>
      <c r="H10" s="19">
        <f t="shared" si="1"/>
        <v>20.136986301369863</v>
      </c>
      <c r="I10" s="19">
        <v>730</v>
      </c>
      <c r="J10" s="15"/>
    </row>
    <row r="11" spans="1:12" outlineLevel="1">
      <c r="A11" s="16">
        <v>43242</v>
      </c>
      <c r="B11" s="15" t="s">
        <v>70</v>
      </c>
      <c r="C11" s="17">
        <v>9</v>
      </c>
      <c r="D11" s="15">
        <v>35</v>
      </c>
      <c r="E11" s="18">
        <v>1</v>
      </c>
      <c r="F11" s="18">
        <v>58</v>
      </c>
      <c r="G11" s="15">
        <f t="shared" si="0"/>
        <v>118</v>
      </c>
      <c r="H11" s="19">
        <f t="shared" si="1"/>
        <v>17.796610169491526</v>
      </c>
      <c r="I11" s="19">
        <v>385</v>
      </c>
      <c r="J11" s="15" t="s">
        <v>71</v>
      </c>
    </row>
    <row r="12" spans="1:12" outlineLevel="1">
      <c r="A12" s="16">
        <v>43243</v>
      </c>
      <c r="B12" s="15" t="s">
        <v>70</v>
      </c>
      <c r="C12" s="17">
        <v>10</v>
      </c>
      <c r="D12" s="15">
        <v>53</v>
      </c>
      <c r="E12" s="18">
        <v>2</v>
      </c>
      <c r="F12" s="18">
        <v>29</v>
      </c>
      <c r="G12" s="15">
        <f t="shared" si="0"/>
        <v>149</v>
      </c>
      <c r="H12" s="19">
        <f t="shared" si="1"/>
        <v>21.34228187919463</v>
      </c>
      <c r="I12" s="19">
        <v>604</v>
      </c>
      <c r="J12" s="15"/>
    </row>
    <row r="13" spans="1:12" outlineLevel="1">
      <c r="A13" s="5">
        <v>43244</v>
      </c>
      <c r="B13" s="15" t="s">
        <v>70</v>
      </c>
      <c r="C13" s="8">
        <v>11</v>
      </c>
      <c r="D13" s="3">
        <v>56</v>
      </c>
      <c r="E13" s="6">
        <v>2</v>
      </c>
      <c r="F13" s="6">
        <v>35</v>
      </c>
      <c r="G13" s="3">
        <f t="shared" si="0"/>
        <v>155</v>
      </c>
      <c r="H13" s="4">
        <f t="shared" si="1"/>
        <v>21.677419354838708</v>
      </c>
      <c r="I13" s="4">
        <v>916</v>
      </c>
      <c r="J13" s="15"/>
    </row>
    <row r="14" spans="1:12" outlineLevel="1">
      <c r="A14" s="5">
        <v>43245</v>
      </c>
      <c r="B14" s="15" t="s">
        <v>70</v>
      </c>
      <c r="C14" s="8">
        <v>12</v>
      </c>
      <c r="D14" s="3">
        <v>43</v>
      </c>
      <c r="E14" s="6">
        <v>2</v>
      </c>
      <c r="F14" s="6">
        <v>0</v>
      </c>
      <c r="G14" s="3">
        <f t="shared" si="0"/>
        <v>120</v>
      </c>
      <c r="H14" s="4">
        <f t="shared" si="1"/>
        <v>21.5</v>
      </c>
      <c r="I14" s="4">
        <v>540</v>
      </c>
      <c r="J14" s="15"/>
    </row>
    <row r="15" spans="1:12" outlineLevel="1">
      <c r="A15" s="16">
        <v>43246</v>
      </c>
      <c r="B15" s="15" t="s">
        <v>70</v>
      </c>
      <c r="C15" s="17">
        <v>13</v>
      </c>
      <c r="D15" s="15">
        <v>59</v>
      </c>
      <c r="E15" s="18">
        <v>2</v>
      </c>
      <c r="F15" s="18">
        <v>35</v>
      </c>
      <c r="G15" s="15">
        <f t="shared" si="0"/>
        <v>155</v>
      </c>
      <c r="H15" s="19">
        <f t="shared" si="1"/>
        <v>22.838709677419352</v>
      </c>
      <c r="I15" s="19">
        <v>786</v>
      </c>
      <c r="J15" s="15"/>
    </row>
    <row r="16" spans="1:12" outlineLevel="1">
      <c r="A16" s="5">
        <v>43249</v>
      </c>
      <c r="B16" s="15" t="s">
        <v>70</v>
      </c>
      <c r="C16" s="8">
        <v>14</v>
      </c>
      <c r="D16" s="3">
        <v>70</v>
      </c>
      <c r="E16" s="6">
        <v>3</v>
      </c>
      <c r="F16" s="6">
        <v>19</v>
      </c>
      <c r="G16" s="3">
        <f t="shared" si="0"/>
        <v>199</v>
      </c>
      <c r="H16" s="4">
        <f t="shared" si="1"/>
        <v>21.105527638190956</v>
      </c>
      <c r="I16" s="4">
        <v>952</v>
      </c>
      <c r="J16" s="15"/>
    </row>
    <row r="17" spans="1:10" outlineLevel="1">
      <c r="A17" s="5">
        <v>43249</v>
      </c>
      <c r="B17" s="15" t="s">
        <v>70</v>
      </c>
      <c r="C17" s="8">
        <v>15</v>
      </c>
      <c r="D17" s="3">
        <v>35</v>
      </c>
      <c r="E17" s="6">
        <v>1</v>
      </c>
      <c r="F17" s="6">
        <v>55</v>
      </c>
      <c r="G17" s="3">
        <f t="shared" si="0"/>
        <v>115</v>
      </c>
      <c r="H17" s="4">
        <f t="shared" si="1"/>
        <v>18.260869565217391</v>
      </c>
      <c r="I17" s="4">
        <v>325</v>
      </c>
      <c r="J17" s="15" t="s">
        <v>71</v>
      </c>
    </row>
    <row r="18" spans="1:10" outlineLevel="1">
      <c r="A18" s="5">
        <v>43250</v>
      </c>
      <c r="B18" s="15" t="s">
        <v>70</v>
      </c>
      <c r="C18" s="8">
        <v>16</v>
      </c>
      <c r="D18" s="3">
        <v>50</v>
      </c>
      <c r="E18" s="6">
        <v>2</v>
      </c>
      <c r="F18" s="6">
        <v>30</v>
      </c>
      <c r="G18" s="3">
        <f t="shared" si="0"/>
        <v>150</v>
      </c>
      <c r="H18" s="4">
        <f t="shared" si="1"/>
        <v>20</v>
      </c>
      <c r="I18" s="4">
        <v>710</v>
      </c>
      <c r="J18" s="3"/>
    </row>
    <row r="19" spans="1:10" outlineLevel="1">
      <c r="A19" s="5">
        <v>43251</v>
      </c>
      <c r="B19" s="15" t="s">
        <v>70</v>
      </c>
      <c r="C19" s="8">
        <v>17</v>
      </c>
      <c r="D19" s="3">
        <v>75</v>
      </c>
      <c r="E19" s="6">
        <v>3</v>
      </c>
      <c r="F19" s="6">
        <v>27</v>
      </c>
      <c r="G19" s="3">
        <f t="shared" si="0"/>
        <v>207</v>
      </c>
      <c r="H19" s="4">
        <f t="shared" si="1"/>
        <v>21.739130434782609</v>
      </c>
      <c r="I19" s="4">
        <v>1083</v>
      </c>
      <c r="J19" s="3"/>
    </row>
    <row r="20" spans="1:10" outlineLevel="1">
      <c r="A20" s="5">
        <v>43251</v>
      </c>
      <c r="B20" s="15" t="s">
        <v>70</v>
      </c>
      <c r="C20" s="8">
        <v>18</v>
      </c>
      <c r="D20" s="3">
        <v>40</v>
      </c>
      <c r="E20" s="6">
        <v>2</v>
      </c>
      <c r="F20" s="6">
        <v>12</v>
      </c>
      <c r="G20" s="3">
        <f t="shared" si="0"/>
        <v>132</v>
      </c>
      <c r="H20" s="4">
        <f t="shared" si="1"/>
        <v>18.181818181818183</v>
      </c>
      <c r="I20" s="4">
        <v>464</v>
      </c>
      <c r="J20" s="15" t="s">
        <v>71</v>
      </c>
    </row>
    <row r="21" spans="1:10" outlineLevel="1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outlineLevel="1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outlineLevel="1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1308</v>
      </c>
      <c r="I24" s="2">
        <f>SUM(I3:I23)</f>
        <v>11912</v>
      </c>
    </row>
    <row r="25" spans="1:10">
      <c r="B25">
        <f>SUM(Avr!B25+Mai!D24)</f>
        <v>5421.5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I26" sqref="I26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12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7">
        <v>43252</v>
      </c>
      <c r="B3" s="15" t="s">
        <v>70</v>
      </c>
      <c r="C3" s="8">
        <v>1</v>
      </c>
      <c r="D3" s="8">
        <v>50</v>
      </c>
      <c r="E3" s="9">
        <v>2</v>
      </c>
      <c r="F3" s="9">
        <v>21</v>
      </c>
      <c r="G3" s="8">
        <f>SUM(E3*60+F3)</f>
        <v>141</v>
      </c>
      <c r="H3" s="10">
        <f>SUM(D3/G3*60)</f>
        <v>21.276595744680851</v>
      </c>
      <c r="I3" s="10">
        <v>659</v>
      </c>
      <c r="J3" s="15"/>
    </row>
    <row r="4" spans="1:10">
      <c r="A4" s="5">
        <v>43253</v>
      </c>
      <c r="B4" s="15" t="s">
        <v>70</v>
      </c>
      <c r="C4" s="8">
        <v>2</v>
      </c>
      <c r="D4" s="3">
        <v>82</v>
      </c>
      <c r="E4" s="6">
        <v>3</v>
      </c>
      <c r="F4" s="6">
        <v>44</v>
      </c>
      <c r="G4" s="8">
        <f t="shared" ref="G4:G20" si="0">SUM(E4*60+F4)</f>
        <v>224</v>
      </c>
      <c r="H4" s="4">
        <f t="shared" ref="H4:H23" si="1">SUM(D4/G4*60)</f>
        <v>21.964285714285712</v>
      </c>
      <c r="I4" s="4">
        <v>982</v>
      </c>
      <c r="J4" s="15"/>
    </row>
    <row r="5" spans="1:10">
      <c r="A5" s="5">
        <v>43253</v>
      </c>
      <c r="B5" s="15" t="s">
        <v>70</v>
      </c>
      <c r="C5" s="8">
        <v>3</v>
      </c>
      <c r="D5" s="3">
        <v>43</v>
      </c>
      <c r="E5" s="6">
        <v>2</v>
      </c>
      <c r="F5" s="6">
        <v>31</v>
      </c>
      <c r="G5" s="8">
        <f t="shared" si="0"/>
        <v>151</v>
      </c>
      <c r="H5" s="4">
        <f t="shared" si="1"/>
        <v>17.086092715231789</v>
      </c>
      <c r="I5" s="4">
        <v>597</v>
      </c>
      <c r="J5" s="15" t="s">
        <v>71</v>
      </c>
    </row>
    <row r="6" spans="1:10">
      <c r="A6" s="16">
        <v>43255</v>
      </c>
      <c r="B6" s="15" t="s">
        <v>70</v>
      </c>
      <c r="C6" s="17">
        <v>4</v>
      </c>
      <c r="D6" s="15">
        <v>32</v>
      </c>
      <c r="E6" s="18">
        <v>1</v>
      </c>
      <c r="F6" s="18">
        <v>24</v>
      </c>
      <c r="G6" s="8">
        <f t="shared" si="0"/>
        <v>84</v>
      </c>
      <c r="H6" s="19">
        <f t="shared" si="1"/>
        <v>22.857142857142854</v>
      </c>
      <c r="I6" s="19">
        <v>328</v>
      </c>
      <c r="J6" s="15"/>
    </row>
    <row r="7" spans="1:10">
      <c r="A7" s="16">
        <v>43255</v>
      </c>
      <c r="B7" s="15" t="s">
        <v>70</v>
      </c>
      <c r="C7" s="17">
        <v>5</v>
      </c>
      <c r="D7" s="15">
        <v>31</v>
      </c>
      <c r="E7" s="18">
        <v>1</v>
      </c>
      <c r="F7" s="18">
        <v>49</v>
      </c>
      <c r="G7" s="8">
        <f t="shared" si="0"/>
        <v>109</v>
      </c>
      <c r="H7" s="19">
        <f t="shared" si="1"/>
        <v>17.064220183486238</v>
      </c>
      <c r="I7" s="19">
        <v>472</v>
      </c>
      <c r="J7" s="15" t="s">
        <v>71</v>
      </c>
    </row>
    <row r="8" spans="1:10">
      <c r="A8" s="16">
        <v>43256</v>
      </c>
      <c r="B8" s="15" t="s">
        <v>70</v>
      </c>
      <c r="C8" s="17">
        <v>6</v>
      </c>
      <c r="D8" s="15">
        <v>86</v>
      </c>
      <c r="E8" s="18">
        <v>4</v>
      </c>
      <c r="F8" s="18">
        <v>0</v>
      </c>
      <c r="G8" s="8">
        <f t="shared" si="0"/>
        <v>240</v>
      </c>
      <c r="H8" s="19">
        <f t="shared" si="1"/>
        <v>21.5</v>
      </c>
      <c r="I8" s="19">
        <v>1272</v>
      </c>
      <c r="J8" s="15"/>
    </row>
    <row r="9" spans="1:10">
      <c r="A9" s="16">
        <v>43257</v>
      </c>
      <c r="B9" s="15" t="s">
        <v>70</v>
      </c>
      <c r="C9" s="17">
        <v>7</v>
      </c>
      <c r="D9" s="15">
        <v>61</v>
      </c>
      <c r="E9" s="18">
        <v>2</v>
      </c>
      <c r="F9" s="18">
        <v>55</v>
      </c>
      <c r="G9" s="8">
        <f t="shared" si="0"/>
        <v>175</v>
      </c>
      <c r="H9" s="19">
        <f t="shared" si="1"/>
        <v>20.914285714285715</v>
      </c>
      <c r="I9" s="19">
        <v>775</v>
      </c>
      <c r="J9" s="15"/>
    </row>
    <row r="10" spans="1:10">
      <c r="A10" s="16">
        <v>43258</v>
      </c>
      <c r="B10" s="15" t="s">
        <v>70</v>
      </c>
      <c r="C10" s="17">
        <v>8</v>
      </c>
      <c r="D10" s="15">
        <v>78</v>
      </c>
      <c r="E10" s="18">
        <v>3</v>
      </c>
      <c r="F10" s="18">
        <v>36</v>
      </c>
      <c r="G10" s="8">
        <f t="shared" si="0"/>
        <v>216</v>
      </c>
      <c r="H10" s="19">
        <f t="shared" si="1"/>
        <v>21.666666666666668</v>
      </c>
      <c r="I10" s="19">
        <v>880</v>
      </c>
      <c r="J10" s="15"/>
    </row>
    <row r="11" spans="1:10">
      <c r="A11" s="16">
        <v>43258</v>
      </c>
      <c r="B11" s="15" t="s">
        <v>70</v>
      </c>
      <c r="C11" s="17">
        <v>9</v>
      </c>
      <c r="D11" s="15">
        <v>47</v>
      </c>
      <c r="E11" s="18">
        <v>2</v>
      </c>
      <c r="F11" s="18">
        <v>38</v>
      </c>
      <c r="G11" s="8">
        <f t="shared" si="0"/>
        <v>158</v>
      </c>
      <c r="H11" s="19">
        <f t="shared" si="1"/>
        <v>17.848101265822784</v>
      </c>
      <c r="I11" s="19">
        <v>575</v>
      </c>
      <c r="J11" s="15" t="s">
        <v>71</v>
      </c>
    </row>
    <row r="12" spans="1:10">
      <c r="A12" s="16">
        <v>43259</v>
      </c>
      <c r="B12" s="15" t="s">
        <v>70</v>
      </c>
      <c r="C12" s="17">
        <v>10</v>
      </c>
      <c r="D12" s="15">
        <v>42</v>
      </c>
      <c r="E12" s="18">
        <v>1</v>
      </c>
      <c r="F12" s="18">
        <v>53</v>
      </c>
      <c r="G12" s="8">
        <f t="shared" si="0"/>
        <v>113</v>
      </c>
      <c r="H12" s="19">
        <f t="shared" si="1"/>
        <v>22.300884955752213</v>
      </c>
      <c r="I12" s="19">
        <v>555</v>
      </c>
      <c r="J12" s="15"/>
    </row>
    <row r="13" spans="1:10">
      <c r="A13" s="16">
        <v>43262</v>
      </c>
      <c r="B13" s="15" t="s">
        <v>72</v>
      </c>
      <c r="C13" s="17">
        <v>11</v>
      </c>
      <c r="D13" s="15">
        <v>50</v>
      </c>
      <c r="E13" s="18">
        <v>2</v>
      </c>
      <c r="F13" s="18">
        <v>56</v>
      </c>
      <c r="G13" s="8">
        <f t="shared" si="0"/>
        <v>176</v>
      </c>
      <c r="H13" s="19">
        <f t="shared" si="1"/>
        <v>17.045454545454547</v>
      </c>
      <c r="I13" s="19">
        <v>1021</v>
      </c>
      <c r="J13" s="15"/>
    </row>
    <row r="14" spans="1:10">
      <c r="A14" s="16">
        <v>43263</v>
      </c>
      <c r="B14" s="15" t="s">
        <v>72</v>
      </c>
      <c r="C14" s="17">
        <v>12</v>
      </c>
      <c r="D14" s="15">
        <v>89</v>
      </c>
      <c r="E14" s="18">
        <v>4</v>
      </c>
      <c r="F14" s="18">
        <v>54</v>
      </c>
      <c r="G14" s="8">
        <f t="shared" si="0"/>
        <v>294</v>
      </c>
      <c r="H14" s="19">
        <f t="shared" si="1"/>
        <v>18.163265306122447</v>
      </c>
      <c r="I14" s="19">
        <v>1453</v>
      </c>
      <c r="J14" s="15"/>
    </row>
    <row r="15" spans="1:10">
      <c r="A15" s="16">
        <v>43264</v>
      </c>
      <c r="B15" s="15" t="s">
        <v>72</v>
      </c>
      <c r="C15" s="17">
        <v>13</v>
      </c>
      <c r="D15" s="15">
        <v>91</v>
      </c>
      <c r="E15" s="18">
        <v>4</v>
      </c>
      <c r="F15" s="18">
        <v>46</v>
      </c>
      <c r="G15" s="8">
        <f t="shared" si="0"/>
        <v>286</v>
      </c>
      <c r="H15" s="19">
        <f t="shared" si="1"/>
        <v>19.09090909090909</v>
      </c>
      <c r="I15" s="19">
        <v>987</v>
      </c>
      <c r="J15" s="15"/>
    </row>
    <row r="16" spans="1:10">
      <c r="A16" s="16">
        <v>43265</v>
      </c>
      <c r="B16" s="15" t="s">
        <v>72</v>
      </c>
      <c r="C16" s="17">
        <v>14</v>
      </c>
      <c r="D16" s="15">
        <v>47</v>
      </c>
      <c r="E16" s="18">
        <v>2</v>
      </c>
      <c r="F16" s="18">
        <v>18</v>
      </c>
      <c r="G16" s="8">
        <f t="shared" si="0"/>
        <v>138</v>
      </c>
      <c r="H16" s="19">
        <f t="shared" si="1"/>
        <v>20.434782608695652</v>
      </c>
      <c r="I16" s="19">
        <v>674</v>
      </c>
      <c r="J16" s="15"/>
    </row>
    <row r="17" spans="1:10">
      <c r="A17" s="16"/>
      <c r="B17" s="15"/>
      <c r="C17" s="17">
        <v>15</v>
      </c>
      <c r="D17" s="15"/>
      <c r="E17" s="18"/>
      <c r="F17" s="18"/>
      <c r="G17" s="8">
        <f t="shared" si="0"/>
        <v>0</v>
      </c>
      <c r="H17" s="19" t="e">
        <f t="shared" si="1"/>
        <v>#DIV/0!</v>
      </c>
      <c r="I17" s="19"/>
      <c r="J17" s="15"/>
    </row>
    <row r="18" spans="1:10">
      <c r="A18" s="5"/>
      <c r="B18" s="15"/>
      <c r="C18" s="8">
        <v>16</v>
      </c>
      <c r="D18" s="3"/>
      <c r="E18" s="6"/>
      <c r="F18" s="6"/>
      <c r="G18" s="8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15"/>
      <c r="C19" s="8">
        <v>17</v>
      </c>
      <c r="D19" s="3"/>
      <c r="E19" s="6"/>
      <c r="F19" s="6"/>
      <c r="G19" s="8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15"/>
      <c r="C20" s="8">
        <v>18</v>
      </c>
      <c r="D20" s="3"/>
      <c r="E20" s="6"/>
      <c r="F20" s="6"/>
      <c r="G20" s="8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ref="G21:G23" si="2">SUM(E21*60+F21)</f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2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2"/>
        <v>0</v>
      </c>
      <c r="H23" s="4" t="e">
        <f t="shared" si="1"/>
        <v>#DIV/0!</v>
      </c>
      <c r="I23" s="4"/>
      <c r="J23" s="3"/>
    </row>
    <row r="24" spans="1:10">
      <c r="D24">
        <f>SUM(D3:D23)</f>
        <v>829</v>
      </c>
      <c r="I24" s="2">
        <f>SUM(I3:I23)</f>
        <v>11230</v>
      </c>
    </row>
    <row r="25" spans="1:10">
      <c r="B25">
        <f>SUM(Mai!B25+Juin!D24)</f>
        <v>6250.5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B21" sqref="B21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13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20">
        <v>43284</v>
      </c>
      <c r="B3" s="17" t="s">
        <v>73</v>
      </c>
      <c r="C3" s="17">
        <v>1</v>
      </c>
      <c r="D3" s="17">
        <v>96.5</v>
      </c>
      <c r="E3" s="21">
        <v>3</v>
      </c>
      <c r="F3" s="21">
        <v>55</v>
      </c>
      <c r="G3" s="17">
        <f>SUM(E3*60+F3)</f>
        <v>235</v>
      </c>
      <c r="H3" s="22">
        <f>SUM(D3/G3*60)</f>
        <v>24.638297872340424</v>
      </c>
      <c r="I3" s="22">
        <v>347</v>
      </c>
      <c r="J3" s="17"/>
    </row>
    <row r="4" spans="1:10">
      <c r="A4" s="16">
        <v>43293</v>
      </c>
      <c r="B4" s="15" t="s">
        <v>74</v>
      </c>
      <c r="C4" s="17">
        <v>2</v>
      </c>
      <c r="D4" s="15">
        <v>142</v>
      </c>
      <c r="E4" s="18">
        <v>6</v>
      </c>
      <c r="F4" s="18">
        <v>8</v>
      </c>
      <c r="G4" s="15">
        <f t="shared" ref="G4:G23" si="0">SUM(E4*60+F4)</f>
        <v>368</v>
      </c>
      <c r="H4" s="19">
        <f t="shared" ref="H4:H23" si="1">SUM(D4/G4*60)</f>
        <v>23.152173913043477</v>
      </c>
      <c r="I4" s="19">
        <v>724</v>
      </c>
      <c r="J4" s="15"/>
    </row>
    <row r="5" spans="1:10">
      <c r="A5" s="16">
        <v>43295</v>
      </c>
      <c r="B5" s="15" t="s">
        <v>124</v>
      </c>
      <c r="C5" s="17">
        <v>3</v>
      </c>
      <c r="D5" s="15">
        <v>82</v>
      </c>
      <c r="E5" s="18">
        <v>3</v>
      </c>
      <c r="F5" s="18">
        <v>10</v>
      </c>
      <c r="G5" s="15">
        <f t="shared" si="0"/>
        <v>190</v>
      </c>
      <c r="H5" s="19">
        <f t="shared" si="1"/>
        <v>25.894736842105264</v>
      </c>
      <c r="I5" s="19">
        <v>521</v>
      </c>
      <c r="J5" s="15"/>
    </row>
    <row r="6" spans="1:10">
      <c r="A6" s="16">
        <v>43300</v>
      </c>
      <c r="B6" s="15" t="s">
        <v>75</v>
      </c>
      <c r="C6" s="17">
        <v>4</v>
      </c>
      <c r="D6" s="15">
        <v>97</v>
      </c>
      <c r="E6" s="18">
        <v>3</v>
      </c>
      <c r="F6" s="18">
        <v>58</v>
      </c>
      <c r="G6" s="15">
        <f t="shared" si="0"/>
        <v>238</v>
      </c>
      <c r="H6" s="19">
        <f t="shared" si="1"/>
        <v>24.45378151260504</v>
      </c>
      <c r="I6" s="19">
        <v>329</v>
      </c>
      <c r="J6" s="15"/>
    </row>
    <row r="7" spans="1:10">
      <c r="A7" s="16">
        <v>43302</v>
      </c>
      <c r="B7" s="15" t="s">
        <v>76</v>
      </c>
      <c r="C7" s="17">
        <v>5</v>
      </c>
      <c r="D7" s="15">
        <v>80</v>
      </c>
      <c r="E7" s="18">
        <v>3</v>
      </c>
      <c r="F7" s="18">
        <v>5</v>
      </c>
      <c r="G7" s="15">
        <f t="shared" si="0"/>
        <v>185</v>
      </c>
      <c r="H7" s="19">
        <f t="shared" si="1"/>
        <v>25.945945945945947</v>
      </c>
      <c r="I7" s="19">
        <v>427</v>
      </c>
      <c r="J7" s="15"/>
    </row>
    <row r="8" spans="1:10">
      <c r="A8" s="16">
        <v>43302</v>
      </c>
      <c r="B8" s="15" t="s">
        <v>21</v>
      </c>
      <c r="C8" s="17">
        <v>7</v>
      </c>
      <c r="D8" s="15">
        <v>29</v>
      </c>
      <c r="E8" s="18">
        <v>1</v>
      </c>
      <c r="F8" s="18">
        <v>49</v>
      </c>
      <c r="G8" s="15">
        <f t="shared" ref="G8:G22" si="2">SUM(E8*60+F8)</f>
        <v>109</v>
      </c>
      <c r="H8" s="19">
        <f t="shared" ref="H8:H22" si="3">SUM(D8/G8*60)</f>
        <v>15.963302752293579</v>
      </c>
      <c r="I8" s="19"/>
      <c r="J8" s="15"/>
    </row>
    <row r="9" spans="1:10">
      <c r="A9" s="16">
        <v>43305</v>
      </c>
      <c r="B9" s="15" t="s">
        <v>77</v>
      </c>
      <c r="C9" s="17">
        <v>8</v>
      </c>
      <c r="D9" s="15">
        <v>91</v>
      </c>
      <c r="E9" s="18">
        <v>3</v>
      </c>
      <c r="F9" s="18">
        <v>43</v>
      </c>
      <c r="G9" s="15">
        <f t="shared" si="2"/>
        <v>223</v>
      </c>
      <c r="H9" s="19">
        <f t="shared" si="3"/>
        <v>24.484304932735427</v>
      </c>
      <c r="I9" s="19">
        <v>390</v>
      </c>
      <c r="J9" s="15"/>
    </row>
    <row r="10" spans="1:10">
      <c r="A10" s="16">
        <v>43307</v>
      </c>
      <c r="B10" s="15" t="s">
        <v>78</v>
      </c>
      <c r="C10" s="17">
        <v>9</v>
      </c>
      <c r="D10" s="15">
        <v>94</v>
      </c>
      <c r="E10" s="18">
        <v>3</v>
      </c>
      <c r="F10" s="18">
        <v>45</v>
      </c>
      <c r="G10" s="15">
        <f t="shared" si="2"/>
        <v>225</v>
      </c>
      <c r="H10" s="19">
        <f t="shared" si="3"/>
        <v>25.06666666666667</v>
      </c>
      <c r="I10" s="19">
        <v>343</v>
      </c>
      <c r="J10" s="15"/>
    </row>
    <row r="11" spans="1:10">
      <c r="A11" s="16">
        <v>43309</v>
      </c>
      <c r="B11" s="15" t="s">
        <v>79</v>
      </c>
      <c r="C11" s="17">
        <v>10</v>
      </c>
      <c r="D11" s="15">
        <v>82</v>
      </c>
      <c r="E11" s="18">
        <v>3</v>
      </c>
      <c r="F11" s="18">
        <v>10</v>
      </c>
      <c r="G11" s="15">
        <f t="shared" si="2"/>
        <v>190</v>
      </c>
      <c r="H11" s="19">
        <f t="shared" si="3"/>
        <v>25.894736842105264</v>
      </c>
      <c r="I11" s="19">
        <v>350</v>
      </c>
      <c r="J11" s="15"/>
    </row>
    <row r="12" spans="1:10">
      <c r="A12" s="16"/>
      <c r="B12" s="15"/>
      <c r="C12" s="17">
        <v>11</v>
      </c>
      <c r="D12" s="15"/>
      <c r="E12" s="18"/>
      <c r="F12" s="18"/>
      <c r="G12" s="15">
        <f t="shared" si="2"/>
        <v>0</v>
      </c>
      <c r="H12" s="19" t="e">
        <f t="shared" si="3"/>
        <v>#DIV/0!</v>
      </c>
      <c r="I12" s="19"/>
      <c r="J12" s="15"/>
    </row>
    <row r="13" spans="1:10">
      <c r="A13" s="16"/>
      <c r="B13" s="15"/>
      <c r="C13" s="17">
        <v>12</v>
      </c>
      <c r="D13" s="15"/>
      <c r="E13" s="18"/>
      <c r="F13" s="18"/>
      <c r="G13" s="15">
        <f t="shared" si="2"/>
        <v>0</v>
      </c>
      <c r="H13" s="19" t="e">
        <f t="shared" si="3"/>
        <v>#DIV/0!</v>
      </c>
      <c r="I13" s="19"/>
      <c r="J13" s="15"/>
    </row>
    <row r="14" spans="1:10">
      <c r="A14" s="16"/>
      <c r="B14" s="15"/>
      <c r="C14" s="17">
        <v>13</v>
      </c>
      <c r="D14" s="15"/>
      <c r="E14" s="18"/>
      <c r="F14" s="18"/>
      <c r="G14" s="15">
        <f t="shared" si="2"/>
        <v>0</v>
      </c>
      <c r="H14" s="19" t="e">
        <f t="shared" si="3"/>
        <v>#DIV/0!</v>
      </c>
      <c r="I14" s="19"/>
      <c r="J14" s="15"/>
    </row>
    <row r="15" spans="1:10">
      <c r="A15" s="16"/>
      <c r="B15" s="15"/>
      <c r="C15" s="17">
        <v>14</v>
      </c>
      <c r="D15" s="15"/>
      <c r="E15" s="18"/>
      <c r="F15" s="18"/>
      <c r="G15" s="15">
        <f t="shared" si="2"/>
        <v>0</v>
      </c>
      <c r="H15" s="19" t="e">
        <f t="shared" si="3"/>
        <v>#DIV/0!</v>
      </c>
      <c r="I15" s="19"/>
      <c r="J15" s="15"/>
    </row>
    <row r="16" spans="1:10">
      <c r="A16" s="16"/>
      <c r="B16" s="15"/>
      <c r="C16" s="17">
        <v>15</v>
      </c>
      <c r="D16" s="15"/>
      <c r="E16" s="18"/>
      <c r="F16" s="18"/>
      <c r="G16" s="15">
        <f t="shared" si="2"/>
        <v>0</v>
      </c>
      <c r="H16" s="19" t="e">
        <f t="shared" si="3"/>
        <v>#DIV/0!</v>
      </c>
      <c r="I16" s="19"/>
      <c r="J16" s="15"/>
    </row>
    <row r="17" spans="1:10">
      <c r="A17" s="16"/>
      <c r="B17" s="15"/>
      <c r="C17" s="17">
        <v>16</v>
      </c>
      <c r="D17" s="15"/>
      <c r="E17" s="18"/>
      <c r="F17" s="18"/>
      <c r="G17" s="15">
        <f t="shared" si="2"/>
        <v>0</v>
      </c>
      <c r="H17" s="19" t="e">
        <f t="shared" si="3"/>
        <v>#DIV/0!</v>
      </c>
      <c r="I17" s="19"/>
      <c r="J17" s="15"/>
    </row>
    <row r="18" spans="1:10">
      <c r="A18" s="16"/>
      <c r="B18" s="15"/>
      <c r="C18" s="17">
        <v>17</v>
      </c>
      <c r="D18" s="15"/>
      <c r="E18" s="18"/>
      <c r="F18" s="18"/>
      <c r="G18" s="15">
        <f t="shared" si="2"/>
        <v>0</v>
      </c>
      <c r="H18" s="19" t="e">
        <f t="shared" si="3"/>
        <v>#DIV/0!</v>
      </c>
      <c r="I18" s="19"/>
      <c r="J18" s="15"/>
    </row>
    <row r="19" spans="1:10">
      <c r="A19" s="16"/>
      <c r="B19" s="15"/>
      <c r="C19" s="17">
        <v>18</v>
      </c>
      <c r="D19" s="15"/>
      <c r="E19" s="18"/>
      <c r="F19" s="18"/>
      <c r="G19" s="15">
        <f t="shared" si="2"/>
        <v>0</v>
      </c>
      <c r="H19" s="19" t="e">
        <f t="shared" si="3"/>
        <v>#DIV/0!</v>
      </c>
      <c r="I19" s="19"/>
      <c r="J19" s="15"/>
    </row>
    <row r="20" spans="1:10">
      <c r="A20" s="16"/>
      <c r="B20" s="15"/>
      <c r="C20" s="17">
        <v>19</v>
      </c>
      <c r="D20" s="15"/>
      <c r="E20" s="18"/>
      <c r="F20" s="18"/>
      <c r="G20" s="15">
        <f t="shared" si="2"/>
        <v>0</v>
      </c>
      <c r="H20" s="19" t="e">
        <f t="shared" si="3"/>
        <v>#DIV/0!</v>
      </c>
      <c r="I20" s="19"/>
      <c r="J20" s="15"/>
    </row>
    <row r="21" spans="1:10">
      <c r="A21" s="16"/>
      <c r="B21" s="15"/>
      <c r="C21" s="17">
        <v>20</v>
      </c>
      <c r="D21" s="15"/>
      <c r="E21" s="18"/>
      <c r="F21" s="18"/>
      <c r="G21" s="15">
        <f t="shared" si="2"/>
        <v>0</v>
      </c>
      <c r="H21" s="19" t="e">
        <f t="shared" si="3"/>
        <v>#DIV/0!</v>
      </c>
      <c r="I21" s="19"/>
      <c r="J21" s="15"/>
    </row>
    <row r="22" spans="1:10">
      <c r="A22" s="5"/>
      <c r="B22" s="3"/>
      <c r="C22" s="8">
        <v>21</v>
      </c>
      <c r="D22" s="15"/>
      <c r="E22" s="6"/>
      <c r="F22" s="6"/>
      <c r="G22" s="3">
        <f t="shared" si="2"/>
        <v>0</v>
      </c>
      <c r="H22" s="4" t="e">
        <f t="shared" si="3"/>
        <v>#DIV/0!</v>
      </c>
      <c r="I22" s="4"/>
      <c r="J22" s="15"/>
    </row>
    <row r="23" spans="1:10">
      <c r="A23" s="5"/>
      <c r="B23" s="3"/>
      <c r="C23" s="3">
        <v>22</v>
      </c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793.5</v>
      </c>
      <c r="I24" s="2">
        <f>SUM(I3:I23)</f>
        <v>3431</v>
      </c>
    </row>
    <row r="25" spans="1:10">
      <c r="B25">
        <f>SUM(Juin!B25+Juil!D24)</f>
        <v>7044</v>
      </c>
    </row>
    <row r="26" spans="1:10">
      <c r="B26" s="3"/>
      <c r="D26" s="24"/>
      <c r="E26" s="30"/>
      <c r="F26" s="24"/>
      <c r="G26" s="24"/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H13" sqref="H13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14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20">
        <v>43316</v>
      </c>
      <c r="B3" s="17" t="s">
        <v>80</v>
      </c>
      <c r="C3" s="17">
        <v>1</v>
      </c>
      <c r="D3" s="17">
        <v>62</v>
      </c>
      <c r="E3" s="21">
        <v>2</v>
      </c>
      <c r="F3" s="21">
        <v>39</v>
      </c>
      <c r="G3" s="3">
        <f t="shared" ref="G3:G22" si="0">SUM(E3*60+F3)</f>
        <v>159</v>
      </c>
      <c r="H3" s="22">
        <f>SUM(D3/G3*60)</f>
        <v>23.39622641509434</v>
      </c>
      <c r="I3" s="22"/>
      <c r="J3" s="17"/>
    </row>
    <row r="4" spans="1:10">
      <c r="A4" s="16">
        <v>43323</v>
      </c>
      <c r="B4" s="15" t="s">
        <v>81</v>
      </c>
      <c r="C4" s="17">
        <v>2</v>
      </c>
      <c r="D4" s="15">
        <v>82</v>
      </c>
      <c r="E4" s="18">
        <v>3</v>
      </c>
      <c r="F4" s="18">
        <v>4</v>
      </c>
      <c r="G4" s="3">
        <f t="shared" si="0"/>
        <v>184</v>
      </c>
      <c r="H4" s="19">
        <f t="shared" ref="H4:H24" si="1">SUM(D4/G4*60)</f>
        <v>26.739130434782609</v>
      </c>
      <c r="I4" s="22">
        <v>467</v>
      </c>
      <c r="J4" s="17"/>
    </row>
    <row r="5" spans="1:10">
      <c r="A5" s="16">
        <v>43326</v>
      </c>
      <c r="B5" s="15" t="s">
        <v>83</v>
      </c>
      <c r="C5" s="17">
        <v>3</v>
      </c>
      <c r="D5" s="15">
        <v>99</v>
      </c>
      <c r="E5" s="18">
        <v>4</v>
      </c>
      <c r="F5" s="18">
        <v>13</v>
      </c>
      <c r="G5" s="3">
        <f t="shared" si="0"/>
        <v>253</v>
      </c>
      <c r="H5" s="19">
        <f t="shared" si="1"/>
        <v>23.478260869565219</v>
      </c>
      <c r="I5" s="22">
        <v>313</v>
      </c>
      <c r="J5" s="17"/>
    </row>
    <row r="6" spans="1:10">
      <c r="A6" s="16">
        <v>43328</v>
      </c>
      <c r="B6" s="15" t="s">
        <v>82</v>
      </c>
      <c r="C6" s="17">
        <v>4</v>
      </c>
      <c r="D6" s="15">
        <v>92</v>
      </c>
      <c r="E6" s="18">
        <v>3</v>
      </c>
      <c r="F6" s="18">
        <v>52</v>
      </c>
      <c r="G6" s="3">
        <f t="shared" si="0"/>
        <v>232</v>
      </c>
      <c r="H6" s="19">
        <f t="shared" si="1"/>
        <v>23.793103448275865</v>
      </c>
      <c r="I6" s="22">
        <v>351</v>
      </c>
      <c r="J6" s="17"/>
    </row>
    <row r="7" spans="1:10">
      <c r="A7" s="16">
        <v>43330</v>
      </c>
      <c r="B7" s="15" t="s">
        <v>84</v>
      </c>
      <c r="C7" s="17">
        <v>5</v>
      </c>
      <c r="D7" s="15">
        <v>86</v>
      </c>
      <c r="E7" s="18">
        <v>3</v>
      </c>
      <c r="F7" s="18">
        <v>15</v>
      </c>
      <c r="G7" s="3">
        <f t="shared" si="0"/>
        <v>195</v>
      </c>
      <c r="H7" s="19">
        <f t="shared" si="1"/>
        <v>26.46153846153846</v>
      </c>
      <c r="I7" s="22">
        <v>329</v>
      </c>
      <c r="J7" s="17"/>
    </row>
    <row r="8" spans="1:10">
      <c r="A8" s="16">
        <v>43333</v>
      </c>
      <c r="B8" s="15" t="s">
        <v>85</v>
      </c>
      <c r="C8" s="17">
        <v>6</v>
      </c>
      <c r="D8" s="15">
        <v>100</v>
      </c>
      <c r="E8" s="18">
        <v>3</v>
      </c>
      <c r="F8" s="18">
        <v>55</v>
      </c>
      <c r="G8" s="3">
        <f t="shared" si="0"/>
        <v>235</v>
      </c>
      <c r="H8" s="19">
        <f t="shared" si="1"/>
        <v>25.531914893617021</v>
      </c>
      <c r="I8" s="22">
        <v>466</v>
      </c>
      <c r="J8" s="17"/>
    </row>
    <row r="9" spans="1:10">
      <c r="A9" s="16">
        <v>43335</v>
      </c>
      <c r="B9" s="15" t="s">
        <v>86</v>
      </c>
      <c r="C9" s="17">
        <v>7</v>
      </c>
      <c r="D9" s="15">
        <v>85</v>
      </c>
      <c r="E9" s="18">
        <v>3</v>
      </c>
      <c r="F9" s="18">
        <v>24</v>
      </c>
      <c r="G9" s="3">
        <f t="shared" si="0"/>
        <v>204</v>
      </c>
      <c r="H9" s="19">
        <f t="shared" si="1"/>
        <v>25</v>
      </c>
      <c r="I9" s="22">
        <v>250</v>
      </c>
      <c r="J9" s="17"/>
    </row>
    <row r="10" spans="1:10">
      <c r="A10" s="16">
        <v>43337</v>
      </c>
      <c r="B10" s="15" t="s">
        <v>87</v>
      </c>
      <c r="C10" s="17">
        <v>8</v>
      </c>
      <c r="D10" s="15">
        <v>81</v>
      </c>
      <c r="E10" s="18">
        <v>3</v>
      </c>
      <c r="F10" s="18">
        <v>10</v>
      </c>
      <c r="G10" s="3">
        <f t="shared" si="0"/>
        <v>190</v>
      </c>
      <c r="H10" s="19">
        <f t="shared" si="1"/>
        <v>25.578947368421051</v>
      </c>
      <c r="I10" s="22">
        <v>256</v>
      </c>
      <c r="J10" s="17"/>
    </row>
    <row r="11" spans="1:10">
      <c r="A11" s="16"/>
      <c r="B11" s="15"/>
      <c r="C11" s="17">
        <v>9</v>
      </c>
      <c r="D11" s="15"/>
      <c r="E11" s="18"/>
      <c r="F11" s="18"/>
      <c r="G11" s="3">
        <f t="shared" si="0"/>
        <v>0</v>
      </c>
      <c r="H11" s="19" t="e">
        <f t="shared" si="1"/>
        <v>#DIV/0!</v>
      </c>
      <c r="I11" s="22"/>
      <c r="J11" s="17"/>
    </row>
    <row r="12" spans="1:10">
      <c r="A12" s="16"/>
      <c r="B12" s="15"/>
      <c r="C12" s="17">
        <v>10</v>
      </c>
      <c r="D12" s="15"/>
      <c r="E12" s="18"/>
      <c r="F12" s="18"/>
      <c r="G12" s="3">
        <f t="shared" si="0"/>
        <v>0</v>
      </c>
      <c r="H12" s="19" t="e">
        <f t="shared" si="1"/>
        <v>#DIV/0!</v>
      </c>
      <c r="I12" s="22"/>
      <c r="J12" s="17"/>
    </row>
    <row r="13" spans="1:10">
      <c r="A13" s="16"/>
      <c r="B13" s="15"/>
      <c r="C13" s="17">
        <v>11</v>
      </c>
      <c r="D13" s="15"/>
      <c r="E13" s="18"/>
      <c r="F13" s="18"/>
      <c r="G13" s="3">
        <f t="shared" si="0"/>
        <v>0</v>
      </c>
      <c r="H13" s="19" t="e">
        <f t="shared" si="1"/>
        <v>#DIV/0!</v>
      </c>
      <c r="I13" s="22"/>
      <c r="J13" s="17"/>
    </row>
    <row r="14" spans="1:10">
      <c r="A14" s="16"/>
      <c r="B14" s="15"/>
      <c r="C14" s="17">
        <v>12</v>
      </c>
      <c r="D14" s="15"/>
      <c r="E14" s="18"/>
      <c r="F14" s="18"/>
      <c r="G14" s="3">
        <f t="shared" si="0"/>
        <v>0</v>
      </c>
      <c r="H14" s="19" t="e">
        <f t="shared" si="1"/>
        <v>#DIV/0!</v>
      </c>
      <c r="I14" s="19"/>
      <c r="J14" s="15"/>
    </row>
    <row r="15" spans="1:10">
      <c r="A15" s="16"/>
      <c r="B15" s="15"/>
      <c r="C15" s="17">
        <v>13</v>
      </c>
      <c r="D15" s="15"/>
      <c r="E15" s="18"/>
      <c r="F15" s="18"/>
      <c r="G15" s="3">
        <f t="shared" si="0"/>
        <v>0</v>
      </c>
      <c r="H15" s="19" t="e">
        <f t="shared" si="1"/>
        <v>#DIV/0!</v>
      </c>
      <c r="I15" s="19"/>
      <c r="J15" s="15"/>
    </row>
    <row r="16" spans="1:10">
      <c r="A16" s="16"/>
      <c r="B16" s="15"/>
      <c r="C16" s="17">
        <v>14</v>
      </c>
      <c r="D16" s="15"/>
      <c r="E16" s="18"/>
      <c r="F16" s="18"/>
      <c r="G16" s="3">
        <f t="shared" si="0"/>
        <v>0</v>
      </c>
      <c r="H16" s="19" t="e">
        <f t="shared" si="1"/>
        <v>#DIV/0!</v>
      </c>
      <c r="I16" s="19"/>
      <c r="J16" s="15"/>
    </row>
    <row r="17" spans="1:10">
      <c r="A17" s="16"/>
      <c r="B17" s="15"/>
      <c r="C17" s="17">
        <v>15</v>
      </c>
      <c r="D17" s="15"/>
      <c r="E17" s="18"/>
      <c r="F17" s="18"/>
      <c r="G17" s="3">
        <f t="shared" si="0"/>
        <v>0</v>
      </c>
      <c r="H17" s="19" t="e">
        <f t="shared" si="1"/>
        <v>#DIV/0!</v>
      </c>
      <c r="I17" s="19"/>
      <c r="J17" s="15"/>
    </row>
    <row r="18" spans="1:10">
      <c r="A18" s="16"/>
      <c r="B18" s="15"/>
      <c r="C18" s="17">
        <v>16</v>
      </c>
      <c r="D18" s="15"/>
      <c r="E18" s="18"/>
      <c r="F18" s="18"/>
      <c r="G18" s="3">
        <f t="shared" si="0"/>
        <v>0</v>
      </c>
      <c r="H18" s="19" t="e">
        <f t="shared" si="1"/>
        <v>#DIV/0!</v>
      </c>
      <c r="I18" s="19"/>
      <c r="J18" s="15"/>
    </row>
    <row r="19" spans="1:10">
      <c r="A19" s="5"/>
      <c r="B19" s="3"/>
      <c r="C19" s="17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17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25"/>
      <c r="C21" s="17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25"/>
      <c r="C22" s="17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17">
        <v>21</v>
      </c>
      <c r="D23" s="3"/>
      <c r="E23" s="6"/>
      <c r="F23" s="6"/>
      <c r="G23" s="3">
        <f t="shared" ref="G23:G24" si="2">SUM(E23*60+F23)</f>
        <v>0</v>
      </c>
      <c r="H23" s="4" t="e">
        <f t="shared" si="1"/>
        <v>#DIV/0!</v>
      </c>
      <c r="I23" s="4"/>
      <c r="J23" s="3"/>
    </row>
    <row r="24" spans="1:10">
      <c r="A24" s="5"/>
      <c r="B24" s="3"/>
      <c r="C24" s="3"/>
      <c r="D24" s="3"/>
      <c r="E24" s="6"/>
      <c r="F24" s="6"/>
      <c r="G24" s="3">
        <f t="shared" si="2"/>
        <v>0</v>
      </c>
      <c r="H24" s="4" t="e">
        <f t="shared" si="1"/>
        <v>#DIV/0!</v>
      </c>
      <c r="I24" s="4"/>
      <c r="J24" s="3"/>
    </row>
    <row r="25" spans="1:10">
      <c r="D25">
        <f>SUM(D3:D24)</f>
        <v>687</v>
      </c>
      <c r="I25" s="2">
        <f>SUM(I4:I24)</f>
        <v>2432</v>
      </c>
    </row>
    <row r="26" spans="1:10">
      <c r="B26">
        <f>SUM(Juil!B25+Aout!D25)</f>
        <v>7731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5"/>
  <sheetViews>
    <sheetView topLeftCell="A7" workbookViewId="0">
      <selection activeCell="H35" sqref="H35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2" ht="27" thickBot="1">
      <c r="A1" s="37" t="s">
        <v>15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2" ht="19.5" thickBot="1">
      <c r="A2" s="11" t="s">
        <v>0</v>
      </c>
      <c r="B2" s="26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2">
      <c r="A3" s="20">
        <v>43347</v>
      </c>
      <c r="B3" s="3" t="s">
        <v>88</v>
      </c>
      <c r="C3" s="17">
        <v>1</v>
      </c>
      <c r="D3" s="17">
        <v>100</v>
      </c>
      <c r="E3" s="21">
        <v>4</v>
      </c>
      <c r="F3" s="21">
        <v>2</v>
      </c>
      <c r="G3" s="17">
        <f>SUM(E3*60+F3)</f>
        <v>242</v>
      </c>
      <c r="H3" s="22">
        <f>SUM(D3/G3*60)</f>
        <v>24.793388429752067</v>
      </c>
      <c r="I3" s="22">
        <v>422</v>
      </c>
      <c r="J3" s="17"/>
    </row>
    <row r="4" spans="1:12">
      <c r="A4" s="16">
        <v>43350</v>
      </c>
      <c r="B4" s="3" t="s">
        <v>89</v>
      </c>
      <c r="C4" s="17">
        <v>2</v>
      </c>
      <c r="D4" s="15">
        <v>82</v>
      </c>
      <c r="E4" s="18">
        <v>3</v>
      </c>
      <c r="F4" s="18">
        <v>13</v>
      </c>
      <c r="G4" s="15">
        <f t="shared" ref="G4:G23" si="0">SUM(E4*60+F4)</f>
        <v>193</v>
      </c>
      <c r="H4" s="19">
        <f t="shared" ref="H4:H23" si="1">SUM(D4/G4*60)</f>
        <v>25.492227979274613</v>
      </c>
      <c r="I4" s="19">
        <v>329</v>
      </c>
      <c r="J4" s="15"/>
    </row>
    <row r="5" spans="1:12">
      <c r="A5" s="16">
        <v>43354</v>
      </c>
      <c r="B5" s="28" t="s">
        <v>90</v>
      </c>
      <c r="C5" s="17">
        <v>3</v>
      </c>
      <c r="D5" s="15">
        <v>98</v>
      </c>
      <c r="E5" s="18">
        <v>3</v>
      </c>
      <c r="F5" s="18">
        <v>52</v>
      </c>
      <c r="G5" s="15">
        <f t="shared" si="0"/>
        <v>232</v>
      </c>
      <c r="H5" s="19">
        <f t="shared" si="1"/>
        <v>25.344827586206897</v>
      </c>
      <c r="I5" s="19">
        <v>497</v>
      </c>
      <c r="J5" s="15"/>
    </row>
    <row r="6" spans="1:12">
      <c r="A6" s="16">
        <v>43356</v>
      </c>
      <c r="B6" s="15" t="s">
        <v>92</v>
      </c>
      <c r="C6" s="17">
        <v>2</v>
      </c>
      <c r="D6" s="15">
        <v>98</v>
      </c>
      <c r="E6" s="18">
        <v>4</v>
      </c>
      <c r="F6" s="18"/>
      <c r="G6" s="15">
        <f t="shared" ref="G6" si="2">SUM(E6*60+F6)</f>
        <v>240</v>
      </c>
      <c r="H6" s="19">
        <f t="shared" ref="H6" si="3">SUM(D6/G6*60)</f>
        <v>24.5</v>
      </c>
      <c r="I6" s="19"/>
      <c r="J6" s="15"/>
    </row>
    <row r="7" spans="1:12">
      <c r="A7" s="16">
        <v>43358</v>
      </c>
      <c r="B7" s="15" t="s">
        <v>91</v>
      </c>
      <c r="C7" s="17">
        <v>5</v>
      </c>
      <c r="D7" s="15">
        <v>82</v>
      </c>
      <c r="E7" s="18">
        <v>3</v>
      </c>
      <c r="F7" s="18">
        <v>33</v>
      </c>
      <c r="G7" s="15">
        <f t="shared" si="0"/>
        <v>213</v>
      </c>
      <c r="H7" s="19">
        <f t="shared" si="1"/>
        <v>23.098591549295776</v>
      </c>
      <c r="I7" s="19">
        <v>481</v>
      </c>
      <c r="J7" s="15"/>
    </row>
    <row r="8" spans="1:12">
      <c r="A8" s="16">
        <v>43358</v>
      </c>
      <c r="B8" s="15" t="s">
        <v>94</v>
      </c>
      <c r="C8" s="17">
        <v>6</v>
      </c>
      <c r="D8" s="15">
        <v>30</v>
      </c>
      <c r="E8" s="18">
        <v>1</v>
      </c>
      <c r="F8" s="18">
        <v>42</v>
      </c>
      <c r="G8" s="15">
        <f t="shared" si="0"/>
        <v>102</v>
      </c>
      <c r="H8" s="19">
        <f t="shared" si="1"/>
        <v>17.647058823529413</v>
      </c>
      <c r="I8" s="19">
        <v>174</v>
      </c>
      <c r="J8" s="15"/>
      <c r="L8" s="24"/>
    </row>
    <row r="9" spans="1:12">
      <c r="A9" s="16">
        <v>43361</v>
      </c>
      <c r="B9" s="15" t="s">
        <v>93</v>
      </c>
      <c r="C9" s="17">
        <v>7</v>
      </c>
      <c r="D9" s="15">
        <v>74</v>
      </c>
      <c r="E9" s="18">
        <v>3</v>
      </c>
      <c r="F9" s="18">
        <v>3</v>
      </c>
      <c r="G9" s="15">
        <f t="shared" si="0"/>
        <v>183</v>
      </c>
      <c r="H9" s="19">
        <f t="shared" si="1"/>
        <v>24.262295081967213</v>
      </c>
      <c r="I9" s="19">
        <v>226</v>
      </c>
      <c r="J9" s="15"/>
    </row>
    <row r="10" spans="1:12">
      <c r="A10" s="16">
        <v>43363</v>
      </c>
      <c r="B10" s="15" t="s">
        <v>95</v>
      </c>
      <c r="C10" s="17">
        <v>8</v>
      </c>
      <c r="D10" s="15">
        <v>91</v>
      </c>
      <c r="E10" s="18">
        <v>3</v>
      </c>
      <c r="F10" s="18">
        <v>40</v>
      </c>
      <c r="G10" s="15">
        <f t="shared" si="0"/>
        <v>220</v>
      </c>
      <c r="H10" s="19">
        <f t="shared" si="1"/>
        <v>24.818181818181817</v>
      </c>
      <c r="I10" s="19">
        <v>463</v>
      </c>
      <c r="J10" s="15" t="s">
        <v>27</v>
      </c>
    </row>
    <row r="11" spans="1:12">
      <c r="A11" s="16">
        <v>43365</v>
      </c>
      <c r="B11" s="15" t="s">
        <v>96</v>
      </c>
      <c r="C11" s="17">
        <v>9</v>
      </c>
      <c r="D11" s="15">
        <v>84</v>
      </c>
      <c r="E11" s="18">
        <v>3</v>
      </c>
      <c r="F11" s="18">
        <v>17</v>
      </c>
      <c r="G11" s="15">
        <f t="shared" si="0"/>
        <v>197</v>
      </c>
      <c r="H11" s="19">
        <f t="shared" si="1"/>
        <v>25.583756345177665</v>
      </c>
      <c r="I11" s="19">
        <v>419</v>
      </c>
      <c r="J11" s="15"/>
    </row>
    <row r="12" spans="1:12">
      <c r="A12" s="5">
        <v>43365</v>
      </c>
      <c r="B12" s="15" t="s">
        <v>97</v>
      </c>
      <c r="C12" s="8">
        <v>10</v>
      </c>
      <c r="D12" s="3">
        <v>26</v>
      </c>
      <c r="E12" s="6">
        <v>1</v>
      </c>
      <c r="F12" s="6">
        <v>30</v>
      </c>
      <c r="G12" s="3">
        <f t="shared" si="0"/>
        <v>90</v>
      </c>
      <c r="H12" s="4">
        <f t="shared" si="1"/>
        <v>17.333333333333332</v>
      </c>
      <c r="I12" s="4">
        <v>29</v>
      </c>
      <c r="J12" s="3"/>
      <c r="K12" s="24"/>
    </row>
    <row r="13" spans="1:12">
      <c r="A13" s="5">
        <v>43368</v>
      </c>
      <c r="B13" s="3" t="s">
        <v>98</v>
      </c>
      <c r="C13" s="8">
        <v>11</v>
      </c>
      <c r="D13" s="3">
        <v>84</v>
      </c>
      <c r="E13" s="6">
        <v>3</v>
      </c>
      <c r="F13" s="6">
        <v>20</v>
      </c>
      <c r="G13" s="3">
        <f t="shared" si="0"/>
        <v>200</v>
      </c>
      <c r="H13" s="4">
        <f t="shared" si="1"/>
        <v>25.2</v>
      </c>
      <c r="I13" s="4">
        <v>291</v>
      </c>
      <c r="J13" s="3"/>
    </row>
    <row r="14" spans="1:12">
      <c r="A14" s="5">
        <v>43370</v>
      </c>
      <c r="B14" s="3" t="s">
        <v>99</v>
      </c>
      <c r="C14" s="8">
        <v>12</v>
      </c>
      <c r="D14" s="3">
        <v>91</v>
      </c>
      <c r="E14" s="6">
        <v>3</v>
      </c>
      <c r="F14" s="6">
        <v>47</v>
      </c>
      <c r="G14" s="3">
        <f t="shared" si="0"/>
        <v>227</v>
      </c>
      <c r="H14" s="4">
        <f t="shared" si="1"/>
        <v>24.052863436123349</v>
      </c>
      <c r="I14" s="4">
        <v>389</v>
      </c>
      <c r="J14" s="15"/>
    </row>
    <row r="15" spans="1:12">
      <c r="A15" s="5">
        <v>43372</v>
      </c>
      <c r="B15" s="3" t="s">
        <v>101</v>
      </c>
      <c r="C15" s="8">
        <v>13</v>
      </c>
      <c r="D15" s="3">
        <v>72</v>
      </c>
      <c r="E15" s="6">
        <v>3</v>
      </c>
      <c r="F15" s="6">
        <v>18</v>
      </c>
      <c r="G15" s="3">
        <f t="shared" si="0"/>
        <v>198</v>
      </c>
      <c r="H15" s="4">
        <f t="shared" si="1"/>
        <v>21.81818181818182</v>
      </c>
      <c r="I15" s="4">
        <v>270</v>
      </c>
      <c r="J15" s="3"/>
    </row>
    <row r="16" spans="1:12">
      <c r="A16" s="5">
        <v>43373</v>
      </c>
      <c r="B16" s="3" t="s">
        <v>100</v>
      </c>
      <c r="C16" s="8">
        <v>14</v>
      </c>
      <c r="D16" s="3">
        <v>48</v>
      </c>
      <c r="E16" s="6">
        <v>2</v>
      </c>
      <c r="F16" s="6">
        <v>23</v>
      </c>
      <c r="G16" s="3">
        <f t="shared" si="0"/>
        <v>143</v>
      </c>
      <c r="H16" s="4">
        <f t="shared" si="1"/>
        <v>20.13986013986014</v>
      </c>
      <c r="I16" s="4">
        <v>348</v>
      </c>
      <c r="J16" s="3" t="s">
        <v>71</v>
      </c>
    </row>
    <row r="17" spans="1:10">
      <c r="A17" s="5"/>
      <c r="B17" s="15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27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27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27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1060</v>
      </c>
      <c r="I24" s="2">
        <f>SUM(I3:I23)</f>
        <v>4338</v>
      </c>
    </row>
    <row r="25" spans="1:10">
      <c r="B25">
        <f>SUM(Aout!B26+Sept!D24)</f>
        <v>8791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I17" sqref="I17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16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20">
        <v>43375</v>
      </c>
      <c r="B3" s="17" t="s">
        <v>102</v>
      </c>
      <c r="C3" s="17">
        <v>1</v>
      </c>
      <c r="D3" s="17">
        <v>112</v>
      </c>
      <c r="E3" s="21">
        <v>4</v>
      </c>
      <c r="F3" s="21">
        <v>28</v>
      </c>
      <c r="G3" s="17">
        <f>SUM(E3*60+F3)</f>
        <v>268</v>
      </c>
      <c r="H3" s="22">
        <f>SUM(D3/G3*60)</f>
        <v>25.07462686567164</v>
      </c>
      <c r="I3" s="22">
        <v>497</v>
      </c>
      <c r="J3" s="17"/>
    </row>
    <row r="4" spans="1:10">
      <c r="A4" s="16">
        <v>43377</v>
      </c>
      <c r="B4" s="15" t="s">
        <v>103</v>
      </c>
      <c r="C4" s="17">
        <v>2</v>
      </c>
      <c r="D4" s="15">
        <v>103</v>
      </c>
      <c r="E4" s="18">
        <v>4</v>
      </c>
      <c r="F4" s="18">
        <v>13</v>
      </c>
      <c r="G4" s="15">
        <f t="shared" ref="G4:G23" si="0">SUM(E4*60+F4)</f>
        <v>253</v>
      </c>
      <c r="H4" s="19">
        <f t="shared" ref="H4:H23" si="1">SUM(D4/G4*60)</f>
        <v>24.426877470355731</v>
      </c>
      <c r="I4" s="19">
        <v>373</v>
      </c>
      <c r="J4" s="3"/>
    </row>
    <row r="5" spans="1:10">
      <c r="A5" s="16">
        <v>43379</v>
      </c>
      <c r="B5" s="15" t="s">
        <v>104</v>
      </c>
      <c r="C5" s="17">
        <v>3</v>
      </c>
      <c r="D5" s="15">
        <v>78</v>
      </c>
      <c r="E5" s="18">
        <v>3</v>
      </c>
      <c r="F5" s="18">
        <v>16</v>
      </c>
      <c r="G5" s="15">
        <f t="shared" si="0"/>
        <v>196</v>
      </c>
      <c r="H5" s="19">
        <f t="shared" si="1"/>
        <v>23.877551020408163</v>
      </c>
      <c r="I5" s="19">
        <v>432</v>
      </c>
      <c r="J5" s="15"/>
    </row>
    <row r="6" spans="1:10">
      <c r="A6" s="16">
        <v>43379</v>
      </c>
      <c r="B6" s="15" t="s">
        <v>97</v>
      </c>
      <c r="C6" s="17">
        <v>4</v>
      </c>
      <c r="D6" s="15">
        <v>29</v>
      </c>
      <c r="E6" s="18">
        <v>1</v>
      </c>
      <c r="F6" s="18">
        <v>42</v>
      </c>
      <c r="G6" s="15">
        <f t="shared" si="0"/>
        <v>102</v>
      </c>
      <c r="H6" s="19">
        <f t="shared" si="1"/>
        <v>17.058823529411764</v>
      </c>
      <c r="I6" s="19">
        <v>44</v>
      </c>
      <c r="J6" s="15"/>
    </row>
    <row r="7" spans="1:10">
      <c r="A7" s="16">
        <v>43382</v>
      </c>
      <c r="B7" s="15" t="s">
        <v>105</v>
      </c>
      <c r="C7" s="17">
        <v>5</v>
      </c>
      <c r="D7" s="15">
        <v>109</v>
      </c>
      <c r="E7" s="18">
        <v>4</v>
      </c>
      <c r="F7" s="18">
        <v>26</v>
      </c>
      <c r="G7" s="15">
        <f t="shared" si="0"/>
        <v>266</v>
      </c>
      <c r="H7" s="19">
        <f t="shared" si="1"/>
        <v>24.586466165413533</v>
      </c>
      <c r="I7" s="19">
        <v>639</v>
      </c>
      <c r="J7" s="15" t="s">
        <v>27</v>
      </c>
    </row>
    <row r="8" spans="1:10">
      <c r="A8" s="16">
        <v>43384</v>
      </c>
      <c r="B8" s="15" t="s">
        <v>106</v>
      </c>
      <c r="C8" s="17">
        <v>6</v>
      </c>
      <c r="D8" s="15">
        <v>101</v>
      </c>
      <c r="E8" s="18">
        <v>3</v>
      </c>
      <c r="F8" s="18">
        <v>58</v>
      </c>
      <c r="G8" s="15">
        <f t="shared" si="0"/>
        <v>238</v>
      </c>
      <c r="H8" s="19">
        <f t="shared" si="1"/>
        <v>25.462184873949578</v>
      </c>
      <c r="I8" s="19">
        <v>482</v>
      </c>
      <c r="J8" s="3"/>
    </row>
    <row r="9" spans="1:10">
      <c r="A9" s="16">
        <v>43386</v>
      </c>
      <c r="B9" s="15" t="s">
        <v>107</v>
      </c>
      <c r="C9" s="17">
        <v>7</v>
      </c>
      <c r="D9" s="15">
        <v>88</v>
      </c>
      <c r="E9" s="18">
        <v>4</v>
      </c>
      <c r="F9" s="18">
        <v>35</v>
      </c>
      <c r="G9" s="15">
        <f t="shared" si="0"/>
        <v>275</v>
      </c>
      <c r="H9" s="19">
        <f t="shared" si="1"/>
        <v>19.2</v>
      </c>
      <c r="I9" s="19">
        <v>460</v>
      </c>
      <c r="J9" s="15"/>
    </row>
    <row r="10" spans="1:10">
      <c r="A10" s="16">
        <v>43389</v>
      </c>
      <c r="B10" s="15" t="s">
        <v>108</v>
      </c>
      <c r="C10" s="17">
        <v>8</v>
      </c>
      <c r="D10" s="15">
        <v>114</v>
      </c>
      <c r="E10" s="18">
        <v>4</v>
      </c>
      <c r="F10" s="18">
        <v>20</v>
      </c>
      <c r="G10" s="15">
        <f t="shared" si="0"/>
        <v>260</v>
      </c>
      <c r="H10" s="19">
        <f t="shared" si="1"/>
        <v>26.307692307692307</v>
      </c>
      <c r="I10" s="19">
        <v>522</v>
      </c>
      <c r="J10" s="15"/>
    </row>
    <row r="11" spans="1:10">
      <c r="A11" s="5">
        <v>43391</v>
      </c>
      <c r="B11" s="15" t="s">
        <v>109</v>
      </c>
      <c r="C11" s="8">
        <v>9</v>
      </c>
      <c r="D11" s="3">
        <v>112</v>
      </c>
      <c r="E11" s="6">
        <v>4</v>
      </c>
      <c r="F11" s="6">
        <v>22</v>
      </c>
      <c r="G11" s="3">
        <f t="shared" si="0"/>
        <v>262</v>
      </c>
      <c r="H11" s="4">
        <f t="shared" si="1"/>
        <v>25.648854961832061</v>
      </c>
      <c r="I11" s="4">
        <v>475</v>
      </c>
      <c r="J11" s="3"/>
    </row>
    <row r="12" spans="1:10">
      <c r="A12" s="5">
        <v>43393</v>
      </c>
      <c r="B12" s="3" t="s">
        <v>110</v>
      </c>
      <c r="C12" s="8">
        <v>10</v>
      </c>
      <c r="D12" s="3">
        <v>70</v>
      </c>
      <c r="E12" s="6">
        <v>2</v>
      </c>
      <c r="F12" s="6">
        <v>48</v>
      </c>
      <c r="G12" s="3">
        <f t="shared" si="0"/>
        <v>168</v>
      </c>
      <c r="H12" s="4">
        <f t="shared" si="1"/>
        <v>25</v>
      </c>
      <c r="I12" s="4">
        <v>225</v>
      </c>
      <c r="J12" s="3"/>
    </row>
    <row r="13" spans="1:10">
      <c r="A13" s="5">
        <v>43396</v>
      </c>
      <c r="B13" s="3" t="s">
        <v>112</v>
      </c>
      <c r="C13" s="8">
        <v>11</v>
      </c>
      <c r="D13" s="3">
        <v>110</v>
      </c>
      <c r="E13" s="6">
        <v>4</v>
      </c>
      <c r="F13" s="6">
        <v>29</v>
      </c>
      <c r="G13" s="3">
        <f t="shared" si="0"/>
        <v>269</v>
      </c>
      <c r="H13" s="4">
        <f t="shared" si="1"/>
        <v>24.535315985130111</v>
      </c>
      <c r="I13" s="4">
        <v>417</v>
      </c>
      <c r="J13" s="3" t="s">
        <v>111</v>
      </c>
    </row>
    <row r="14" spans="1:10">
      <c r="A14" s="5">
        <v>43398</v>
      </c>
      <c r="B14" s="3" t="s">
        <v>113</v>
      </c>
      <c r="C14" s="8">
        <v>12</v>
      </c>
      <c r="D14" s="3">
        <v>109</v>
      </c>
      <c r="E14" s="6">
        <v>4</v>
      </c>
      <c r="F14" s="6">
        <v>24</v>
      </c>
      <c r="G14" s="3">
        <f t="shared" si="0"/>
        <v>264</v>
      </c>
      <c r="H14" s="4">
        <f t="shared" si="1"/>
        <v>24.772727272727273</v>
      </c>
      <c r="I14" s="4">
        <v>378</v>
      </c>
      <c r="J14" s="3" t="s">
        <v>27</v>
      </c>
    </row>
    <row r="15" spans="1:10">
      <c r="A15" s="5">
        <v>43400</v>
      </c>
      <c r="B15" s="15" t="s">
        <v>114</v>
      </c>
      <c r="C15" s="8">
        <v>13</v>
      </c>
      <c r="D15" s="3">
        <v>51</v>
      </c>
      <c r="E15" s="6">
        <v>2</v>
      </c>
      <c r="F15" s="6">
        <v>12</v>
      </c>
      <c r="G15" s="3">
        <f t="shared" si="0"/>
        <v>132</v>
      </c>
      <c r="H15" s="4">
        <f t="shared" si="1"/>
        <v>23.18181818181818</v>
      </c>
      <c r="I15" s="4">
        <v>231</v>
      </c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15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1186</v>
      </c>
      <c r="I24" s="2">
        <f>SUM(I3:I23)</f>
        <v>5175</v>
      </c>
    </row>
    <row r="25" spans="1:10">
      <c r="B25">
        <f>SUM(Sept!B25+Oct!D24)</f>
        <v>9977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J14" sqref="J14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17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20">
        <v>43407</v>
      </c>
      <c r="B3" s="17" t="s">
        <v>115</v>
      </c>
      <c r="C3" s="17">
        <v>1</v>
      </c>
      <c r="D3" s="17">
        <v>74</v>
      </c>
      <c r="E3" s="21">
        <v>3</v>
      </c>
      <c r="F3" s="21">
        <v>12</v>
      </c>
      <c r="G3" s="17">
        <f>SUM(E3*60+F3)</f>
        <v>192</v>
      </c>
      <c r="H3" s="22">
        <f>SUM(D3/G3*60)</f>
        <v>23.125</v>
      </c>
      <c r="I3" s="22">
        <v>374</v>
      </c>
      <c r="J3" s="15" t="s">
        <v>27</v>
      </c>
    </row>
    <row r="4" spans="1:10">
      <c r="A4" s="16">
        <v>43417</v>
      </c>
      <c r="B4" s="15" t="s">
        <v>116</v>
      </c>
      <c r="C4" s="17">
        <v>2</v>
      </c>
      <c r="D4" s="15">
        <v>102</v>
      </c>
      <c r="E4" s="18">
        <v>4</v>
      </c>
      <c r="F4" s="18">
        <v>14</v>
      </c>
      <c r="G4" s="15">
        <f t="shared" ref="G4:G23" si="0">SUM(E4*60+F4)</f>
        <v>254</v>
      </c>
      <c r="H4" s="19">
        <f t="shared" ref="H4:H23" si="1">SUM(D4/G4*60)</f>
        <v>24.094488188976378</v>
      </c>
      <c r="I4" s="19">
        <v>549</v>
      </c>
      <c r="J4" s="15" t="s">
        <v>27</v>
      </c>
    </row>
    <row r="5" spans="1:10">
      <c r="A5" s="16">
        <v>43419</v>
      </c>
      <c r="B5" s="15" t="s">
        <v>117</v>
      </c>
      <c r="C5" s="17">
        <v>3</v>
      </c>
      <c r="D5" s="15">
        <v>100</v>
      </c>
      <c r="E5" s="18">
        <v>3</v>
      </c>
      <c r="F5" s="18">
        <v>56</v>
      </c>
      <c r="G5" s="15">
        <f t="shared" si="0"/>
        <v>236</v>
      </c>
      <c r="H5" s="19">
        <f t="shared" si="1"/>
        <v>25.423728813559322</v>
      </c>
      <c r="I5" s="19">
        <v>281</v>
      </c>
      <c r="J5" s="15" t="s">
        <v>27</v>
      </c>
    </row>
    <row r="6" spans="1:10">
      <c r="A6" s="16">
        <v>43427</v>
      </c>
      <c r="B6" s="15" t="s">
        <v>118</v>
      </c>
      <c r="C6" s="17">
        <v>4</v>
      </c>
      <c r="D6" s="15">
        <v>75</v>
      </c>
      <c r="E6" s="18">
        <v>3</v>
      </c>
      <c r="F6" s="18"/>
      <c r="G6" s="15">
        <f t="shared" si="0"/>
        <v>180</v>
      </c>
      <c r="H6" s="19">
        <f t="shared" si="1"/>
        <v>25</v>
      </c>
      <c r="I6" s="19">
        <v>303</v>
      </c>
      <c r="J6" s="15" t="s">
        <v>27</v>
      </c>
    </row>
    <row r="7" spans="1:10">
      <c r="A7" s="16">
        <v>43428</v>
      </c>
      <c r="B7" s="15" t="s">
        <v>119</v>
      </c>
      <c r="C7" s="17">
        <v>5</v>
      </c>
      <c r="D7" s="15">
        <v>70</v>
      </c>
      <c r="E7" s="18">
        <v>2</v>
      </c>
      <c r="F7" s="18">
        <v>56</v>
      </c>
      <c r="G7" s="15">
        <f t="shared" si="0"/>
        <v>176</v>
      </c>
      <c r="H7" s="19">
        <f t="shared" si="1"/>
        <v>23.863636363636363</v>
      </c>
      <c r="I7" s="19">
        <v>394</v>
      </c>
      <c r="J7" s="15"/>
    </row>
    <row r="8" spans="1:10">
      <c r="A8" s="16">
        <v>43433</v>
      </c>
      <c r="B8" s="15" t="s">
        <v>120</v>
      </c>
      <c r="C8" s="17">
        <v>6</v>
      </c>
      <c r="D8" s="15">
        <v>75</v>
      </c>
      <c r="E8" s="18">
        <v>3</v>
      </c>
      <c r="F8" s="18"/>
      <c r="G8" s="15">
        <f t="shared" si="0"/>
        <v>180</v>
      </c>
      <c r="H8" s="19">
        <f t="shared" si="1"/>
        <v>25</v>
      </c>
      <c r="I8" s="19">
        <v>292</v>
      </c>
      <c r="J8" s="15" t="s">
        <v>27</v>
      </c>
    </row>
    <row r="9" spans="1:10">
      <c r="A9" s="16">
        <v>43434</v>
      </c>
      <c r="B9" s="15" t="s">
        <v>121</v>
      </c>
      <c r="C9" s="17">
        <v>7</v>
      </c>
      <c r="D9" s="15">
        <v>85</v>
      </c>
      <c r="E9" s="18">
        <v>3</v>
      </c>
      <c r="F9" s="18">
        <v>22</v>
      </c>
      <c r="G9" s="15">
        <f t="shared" si="0"/>
        <v>202</v>
      </c>
      <c r="H9" s="19">
        <f t="shared" si="1"/>
        <v>25.247524752475247</v>
      </c>
      <c r="I9" s="35">
        <v>461</v>
      </c>
      <c r="J9" s="15" t="s">
        <v>27</v>
      </c>
    </row>
    <row r="10" spans="1:10">
      <c r="A10" s="16"/>
      <c r="B10" s="15"/>
      <c r="C10" s="17">
        <v>8</v>
      </c>
      <c r="D10" s="15"/>
      <c r="E10" s="18"/>
      <c r="F10" s="18"/>
      <c r="G10" s="15">
        <f t="shared" si="0"/>
        <v>0</v>
      </c>
      <c r="H10" s="19" t="e">
        <f t="shared" si="1"/>
        <v>#DIV/0!</v>
      </c>
      <c r="I10" s="19"/>
      <c r="J10" s="15"/>
    </row>
    <row r="11" spans="1:10">
      <c r="A11" s="16"/>
      <c r="B11" s="6"/>
      <c r="C11" s="17">
        <v>9</v>
      </c>
      <c r="D11" s="15"/>
      <c r="E11" s="18"/>
      <c r="F11" s="18"/>
      <c r="G11" s="15">
        <f t="shared" si="0"/>
        <v>0</v>
      </c>
      <c r="H11" s="19" t="e">
        <f t="shared" si="1"/>
        <v>#DIV/0!</v>
      </c>
      <c r="I11" s="19"/>
      <c r="J11" s="15"/>
    </row>
    <row r="12" spans="1:10">
      <c r="A12" s="16"/>
      <c r="B12" s="15"/>
      <c r="C12" s="17">
        <v>10</v>
      </c>
      <c r="D12" s="15"/>
      <c r="E12" s="18"/>
      <c r="F12" s="18"/>
      <c r="G12" s="15">
        <f t="shared" si="0"/>
        <v>0</v>
      </c>
      <c r="H12" s="19" t="e">
        <f t="shared" si="1"/>
        <v>#DIV/0!</v>
      </c>
      <c r="I12" s="19"/>
      <c r="J12" s="15"/>
    </row>
    <row r="13" spans="1:10">
      <c r="A13" s="16"/>
      <c r="B13" s="15"/>
      <c r="C13" s="17">
        <v>11</v>
      </c>
      <c r="D13" s="15"/>
      <c r="E13" s="18"/>
      <c r="F13" s="18"/>
      <c r="G13" s="15">
        <f t="shared" si="0"/>
        <v>0</v>
      </c>
      <c r="H13" s="19" t="e">
        <f t="shared" si="1"/>
        <v>#DIV/0!</v>
      </c>
      <c r="I13" s="19"/>
      <c r="J13" s="15"/>
    </row>
    <row r="14" spans="1:10">
      <c r="A14" s="16"/>
      <c r="B14" s="15"/>
      <c r="C14" s="17">
        <v>12</v>
      </c>
      <c r="D14" s="15"/>
      <c r="E14" s="18"/>
      <c r="F14" s="18"/>
      <c r="G14" s="15">
        <f t="shared" si="0"/>
        <v>0</v>
      </c>
      <c r="H14" s="19" t="e">
        <f t="shared" si="1"/>
        <v>#DIV/0!</v>
      </c>
      <c r="I14" s="19"/>
      <c r="J14" s="15"/>
    </row>
    <row r="15" spans="1:10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15"/>
    </row>
    <row r="16" spans="1:10">
      <c r="A16" s="5"/>
      <c r="B16" s="3"/>
      <c r="C16" s="8">
        <v>14</v>
      </c>
      <c r="D16" s="3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581</v>
      </c>
      <c r="I24" s="2">
        <f>SUM(I3:I23)</f>
        <v>2654</v>
      </c>
    </row>
    <row r="25" spans="1:10">
      <c r="B25">
        <f>SUM(Oct!B25+Nov!D24)</f>
        <v>10558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J11" sqref="J11"/>
    </sheetView>
  </sheetViews>
  <sheetFormatPr baseColWidth="10" defaultRowHeight="1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>
      <c r="A1" s="37" t="s">
        <v>18</v>
      </c>
      <c r="B1" s="37"/>
      <c r="C1" s="37"/>
      <c r="D1" s="37"/>
      <c r="E1" s="37"/>
      <c r="F1" s="37"/>
      <c r="G1" s="37"/>
      <c r="H1" s="29">
        <f>SUM(Janv!H1)</f>
        <v>2018</v>
      </c>
      <c r="I1" s="29"/>
      <c r="J1" s="29"/>
    </row>
    <row r="2" spans="1:10" ht="19.5" thickBot="1">
      <c r="A2" s="11" t="s">
        <v>0</v>
      </c>
      <c r="B2" s="12" t="s">
        <v>1</v>
      </c>
      <c r="C2" s="12" t="s">
        <v>6</v>
      </c>
      <c r="D2" s="12" t="s">
        <v>2</v>
      </c>
      <c r="E2" s="36" t="s">
        <v>3</v>
      </c>
      <c r="F2" s="36"/>
      <c r="G2" s="36"/>
      <c r="H2" s="13" t="s">
        <v>4</v>
      </c>
      <c r="I2" s="34" t="s">
        <v>65</v>
      </c>
      <c r="J2" s="14" t="s">
        <v>5</v>
      </c>
    </row>
    <row r="3" spans="1:10">
      <c r="A3" s="7">
        <v>43435</v>
      </c>
      <c r="B3" s="8" t="s">
        <v>122</v>
      </c>
      <c r="C3" s="8">
        <v>1</v>
      </c>
      <c r="D3" s="8">
        <v>72</v>
      </c>
      <c r="E3" s="9">
        <v>3</v>
      </c>
      <c r="F3" s="9">
        <v>2</v>
      </c>
      <c r="G3" s="8">
        <f>SUM(E3*60+F3)</f>
        <v>182</v>
      </c>
      <c r="H3" s="10">
        <f>SUM(D3/G3*60)</f>
        <v>23.736263736263734</v>
      </c>
      <c r="I3" s="10">
        <v>204</v>
      </c>
      <c r="J3" s="8" t="s">
        <v>123</v>
      </c>
    </row>
    <row r="4" spans="1:10">
      <c r="A4" s="5">
        <v>43438</v>
      </c>
      <c r="B4" s="15" t="s">
        <v>125</v>
      </c>
      <c r="C4" s="8">
        <v>2</v>
      </c>
      <c r="D4" s="3">
        <v>80</v>
      </c>
      <c r="E4" s="6">
        <v>3</v>
      </c>
      <c r="F4" s="6">
        <v>11</v>
      </c>
      <c r="G4" s="3">
        <f t="shared" ref="G4:G23" si="0">SUM(E4*60+F4)</f>
        <v>191</v>
      </c>
      <c r="H4" s="4">
        <f t="shared" ref="H4:H23" si="1">SUM(D4/G4*60)</f>
        <v>25.130890052356023</v>
      </c>
      <c r="I4" s="10">
        <v>433</v>
      </c>
      <c r="J4" s="8" t="s">
        <v>27</v>
      </c>
    </row>
    <row r="5" spans="1:10">
      <c r="A5" s="16">
        <v>43440</v>
      </c>
      <c r="B5" s="15" t="s">
        <v>126</v>
      </c>
      <c r="C5" s="17">
        <v>3</v>
      </c>
      <c r="D5" s="15">
        <v>72</v>
      </c>
      <c r="E5" s="18">
        <v>3</v>
      </c>
      <c r="F5" s="18">
        <v>1</v>
      </c>
      <c r="G5" s="15">
        <f t="shared" si="0"/>
        <v>181</v>
      </c>
      <c r="H5" s="19">
        <f t="shared" si="1"/>
        <v>23.867403314917127</v>
      </c>
      <c r="I5" s="19">
        <v>217</v>
      </c>
      <c r="J5" s="15" t="s">
        <v>27</v>
      </c>
    </row>
    <row r="6" spans="1:10">
      <c r="A6" s="16">
        <v>43442</v>
      </c>
      <c r="B6" s="15" t="s">
        <v>126</v>
      </c>
      <c r="C6" s="17">
        <v>4</v>
      </c>
      <c r="D6" s="15">
        <v>69</v>
      </c>
      <c r="E6" s="18">
        <v>3</v>
      </c>
      <c r="F6" s="18"/>
      <c r="G6" s="15">
        <f t="shared" si="0"/>
        <v>180</v>
      </c>
      <c r="H6" s="19">
        <f t="shared" si="1"/>
        <v>23</v>
      </c>
      <c r="I6" s="19">
        <v>333</v>
      </c>
      <c r="J6" s="15" t="s">
        <v>26</v>
      </c>
    </row>
    <row r="7" spans="1:10">
      <c r="A7" s="16">
        <v>43450</v>
      </c>
      <c r="B7" s="15" t="s">
        <v>127</v>
      </c>
      <c r="C7" s="17">
        <v>5</v>
      </c>
      <c r="D7" s="15">
        <v>69</v>
      </c>
      <c r="E7" s="18">
        <v>2</v>
      </c>
      <c r="F7" s="18">
        <v>45</v>
      </c>
      <c r="G7" s="15">
        <f t="shared" si="0"/>
        <v>165</v>
      </c>
      <c r="H7" s="19">
        <f t="shared" si="1"/>
        <v>25.09090909090909</v>
      </c>
      <c r="I7" s="19">
        <v>299</v>
      </c>
      <c r="J7" s="15" t="s">
        <v>27</v>
      </c>
    </row>
    <row r="8" spans="1:10">
      <c r="A8" s="16">
        <v>43454</v>
      </c>
      <c r="B8" s="15" t="s">
        <v>128</v>
      </c>
      <c r="C8" s="17">
        <v>6</v>
      </c>
      <c r="D8" s="15">
        <v>55</v>
      </c>
      <c r="E8" s="18">
        <v>2</v>
      </c>
      <c r="F8" s="18">
        <v>20</v>
      </c>
      <c r="G8" s="15">
        <f t="shared" si="0"/>
        <v>140</v>
      </c>
      <c r="H8" s="19">
        <f t="shared" si="1"/>
        <v>23.571428571428569</v>
      </c>
      <c r="I8" s="19">
        <v>198</v>
      </c>
      <c r="J8" s="15" t="s">
        <v>27</v>
      </c>
    </row>
    <row r="9" spans="1:10">
      <c r="A9" s="16"/>
      <c r="B9" s="8"/>
      <c r="C9" s="17">
        <v>7</v>
      </c>
      <c r="D9" s="15"/>
      <c r="E9" s="18"/>
      <c r="F9" s="18"/>
      <c r="G9" s="15">
        <f t="shared" si="0"/>
        <v>0</v>
      </c>
      <c r="H9" s="19" t="e">
        <f t="shared" si="1"/>
        <v>#DIV/0!</v>
      </c>
      <c r="I9" s="19"/>
      <c r="J9" s="15"/>
    </row>
    <row r="10" spans="1:10">
      <c r="A10" s="5"/>
      <c r="B10" s="15"/>
      <c r="C10" s="8">
        <v>8</v>
      </c>
      <c r="D10" s="3"/>
      <c r="E10" s="6"/>
      <c r="F10" s="6"/>
      <c r="G10" s="3">
        <f t="shared" si="0"/>
        <v>0</v>
      </c>
      <c r="H10" s="4" t="e">
        <f t="shared" si="1"/>
        <v>#DIV/0!</v>
      </c>
      <c r="I10" s="10"/>
      <c r="J10" s="8"/>
    </row>
    <row r="11" spans="1:10">
      <c r="A11" s="5"/>
      <c r="B11" s="3"/>
      <c r="C11" s="8">
        <v>9</v>
      </c>
      <c r="D11" s="3"/>
      <c r="E11" s="6"/>
      <c r="F11" s="6"/>
      <c r="G11" s="3">
        <f t="shared" si="0"/>
        <v>0</v>
      </c>
      <c r="H11" s="4" t="e">
        <f t="shared" si="1"/>
        <v>#DIV/0!</v>
      </c>
      <c r="I11" s="4"/>
      <c r="J11" s="3"/>
    </row>
    <row r="12" spans="1:10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4"/>
      <c r="J12" s="3"/>
    </row>
    <row r="13" spans="1:10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>
      <c r="D24">
        <f>SUM(D3:D23)</f>
        <v>417</v>
      </c>
      <c r="I24" s="2">
        <f>SUM(I3:I23)</f>
        <v>1684</v>
      </c>
    </row>
    <row r="25" spans="1:10">
      <c r="B25">
        <f>SUM(Nov!B25+Déc!D24)</f>
        <v>10975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</cp:lastModifiedBy>
  <dcterms:created xsi:type="dcterms:W3CDTF">2015-01-07T20:15:24Z</dcterms:created>
  <dcterms:modified xsi:type="dcterms:W3CDTF">2019-01-02T17:01:11Z</dcterms:modified>
</cp:coreProperties>
</file>