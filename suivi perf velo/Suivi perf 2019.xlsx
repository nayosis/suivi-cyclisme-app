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3260" windowHeight="9270" activeTab="11"/>
  </bookViews>
  <sheets>
    <sheet name="Janv" sheetId="1" r:id="rId1"/>
    <sheet name="Fév" sheetId="2" r:id="rId2"/>
    <sheet name="Mar" sheetId="3" r:id="rId3"/>
    <sheet name="Avr" sheetId="4" r:id="rId4"/>
    <sheet name="Mai" sheetId="5" r:id="rId5"/>
    <sheet name="Juin" sheetId="6" r:id="rId6"/>
    <sheet name="Juil" sheetId="7" r:id="rId7"/>
    <sheet name="Aout" sheetId="8" r:id="rId8"/>
    <sheet name="Sept" sheetId="9" r:id="rId9"/>
    <sheet name="Oct" sheetId="10" r:id="rId10"/>
    <sheet name="Nov" sheetId="11" r:id="rId11"/>
    <sheet name="Déc" sheetId="12" r:id="rId12"/>
  </sheets>
  <calcPr calcId="125725"/>
</workbook>
</file>

<file path=xl/calcChain.xml><?xml version="1.0" encoding="utf-8"?>
<calcChain xmlns="http://schemas.openxmlformats.org/spreadsheetml/2006/main">
  <c r="H12" i="8"/>
  <c r="G12"/>
  <c r="G7"/>
  <c r="H7" s="1"/>
  <c r="H24" i="7"/>
  <c r="H23"/>
  <c r="G24"/>
  <c r="G23"/>
  <c r="H13"/>
  <c r="G11"/>
  <c r="G10"/>
  <c r="I24" i="11"/>
  <c r="I24" i="10"/>
  <c r="I24" i="9"/>
  <c r="I24" i="8"/>
  <c r="I26" i="7"/>
  <c r="I24" i="6"/>
  <c r="I24" i="5"/>
  <c r="I24" i="4"/>
  <c r="I24" i="3"/>
  <c r="I24" i="2"/>
  <c r="I24" i="1"/>
  <c r="H25" s="1"/>
  <c r="I24" i="12"/>
  <c r="H1"/>
  <c r="H1" i="11"/>
  <c r="H1" i="10"/>
  <c r="H1" i="9"/>
  <c r="H1" i="8"/>
  <c r="H1" i="7"/>
  <c r="H1" i="6"/>
  <c r="H1" i="4"/>
  <c r="H1" i="5"/>
  <c r="H1" i="3"/>
  <c r="H1" i="2"/>
  <c r="G3" i="5"/>
  <c r="H3" s="1"/>
  <c r="G4"/>
  <c r="H4" s="1"/>
  <c r="G5"/>
  <c r="H5" s="1"/>
  <c r="G6"/>
  <c r="G7"/>
  <c r="H7" s="1"/>
  <c r="G8"/>
  <c r="H8" s="1"/>
  <c r="G9"/>
  <c r="H9" s="1"/>
  <c r="G10"/>
  <c r="H10" s="1"/>
  <c r="G11"/>
  <c r="H11" s="1"/>
  <c r="G12"/>
  <c r="H12" s="1"/>
  <c r="G13"/>
  <c r="H13" s="1"/>
  <c r="G14"/>
  <c r="G15"/>
  <c r="H15" s="1"/>
  <c r="G16"/>
  <c r="H16" s="1"/>
  <c r="G17"/>
  <c r="H17" s="1"/>
  <c r="G18"/>
  <c r="H18" s="1"/>
  <c r="G19"/>
  <c r="H19" s="1"/>
  <c r="G20"/>
  <c r="G21"/>
  <c r="G22"/>
  <c r="H22" s="1"/>
  <c r="G23"/>
  <c r="H23" s="1"/>
  <c r="G3" i="12"/>
  <c r="H3" s="1"/>
  <c r="G4"/>
  <c r="H4" s="1"/>
  <c r="G5"/>
  <c r="H5" s="1"/>
  <c r="G6"/>
  <c r="H6" s="1"/>
  <c r="G7"/>
  <c r="H7" s="1"/>
  <c r="G8"/>
  <c r="H8" s="1"/>
  <c r="G9"/>
  <c r="H9" s="1"/>
  <c r="G10"/>
  <c r="H10" s="1"/>
  <c r="G11"/>
  <c r="H11" s="1"/>
  <c r="G12"/>
  <c r="H12" s="1"/>
  <c r="G13"/>
  <c r="H13" s="1"/>
  <c r="G14"/>
  <c r="H14" s="1"/>
  <c r="G16" i="11"/>
  <c r="H16" s="1"/>
  <c r="G22" i="8"/>
  <c r="G21"/>
  <c r="H21" s="1"/>
  <c r="G20"/>
  <c r="G19"/>
  <c r="G18"/>
  <c r="G17"/>
  <c r="H17" s="1"/>
  <c r="G16"/>
  <c r="G15"/>
  <c r="G14"/>
  <c r="H14" s="1"/>
  <c r="G13"/>
  <c r="H13" s="1"/>
  <c r="G11"/>
  <c r="H11" s="1"/>
  <c r="G10"/>
  <c r="H10" s="1"/>
  <c r="G9"/>
  <c r="H9" s="1"/>
  <c r="G8"/>
  <c r="H8" s="1"/>
  <c r="G6"/>
  <c r="H6" s="1"/>
  <c r="G5"/>
  <c r="H5" s="1"/>
  <c r="G4"/>
  <c r="H4" s="1"/>
  <c r="G3"/>
  <c r="H3" s="1"/>
  <c r="G22" i="7"/>
  <c r="H22" s="1"/>
  <c r="G20" i="6"/>
  <c r="H20" s="1"/>
  <c r="G19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G13" i="4"/>
  <c r="H13" s="1"/>
  <c r="G3" i="1"/>
  <c r="H3" s="1"/>
  <c r="G4"/>
  <c r="H4" s="1"/>
  <c r="G5"/>
  <c r="G6"/>
  <c r="G7"/>
  <c r="G8"/>
  <c r="H8" s="1"/>
  <c r="G9"/>
  <c r="H9" s="1"/>
  <c r="G10"/>
  <c r="H10" s="1"/>
  <c r="G11"/>
  <c r="H11" s="1"/>
  <c r="G12"/>
  <c r="H5"/>
  <c r="H6"/>
  <c r="H7"/>
  <c r="H12"/>
  <c r="G12" i="11"/>
  <c r="H12" s="1"/>
  <c r="G9" i="9"/>
  <c r="H9" s="1"/>
  <c r="G7"/>
  <c r="H7" s="1"/>
  <c r="G6"/>
  <c r="H6" s="1"/>
  <c r="G8" i="4"/>
  <c r="H8" s="1"/>
  <c r="D24" i="12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D24" i="11"/>
  <c r="G23"/>
  <c r="H23" s="1"/>
  <c r="G22"/>
  <c r="H22" s="1"/>
  <c r="G21"/>
  <c r="H21" s="1"/>
  <c r="H20"/>
  <c r="G20"/>
  <c r="G19"/>
  <c r="H19" s="1"/>
  <c r="H18"/>
  <c r="G18"/>
  <c r="G17"/>
  <c r="H17" s="1"/>
  <c r="G15"/>
  <c r="H15" s="1"/>
  <c r="G14"/>
  <c r="H14" s="1"/>
  <c r="G13"/>
  <c r="H13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10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9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8"/>
  <c r="H8" s="1"/>
  <c r="G5"/>
  <c r="H5" s="1"/>
  <c r="G4"/>
  <c r="H4" s="1"/>
  <c r="G3"/>
  <c r="H3" s="1"/>
  <c r="D25" i="8"/>
  <c r="H23"/>
  <c r="G23"/>
  <c r="H22"/>
  <c r="H20"/>
  <c r="H19"/>
  <c r="H18"/>
  <c r="H16"/>
  <c r="H15"/>
  <c r="D26" i="7"/>
  <c r="G25"/>
  <c r="H25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G12"/>
  <c r="H12" s="1"/>
  <c r="H11"/>
  <c r="H10"/>
  <c r="G9"/>
  <c r="H9" s="1"/>
  <c r="G8"/>
  <c r="H8" s="1"/>
  <c r="G7"/>
  <c r="H7" s="1"/>
  <c r="G6"/>
  <c r="H6" s="1"/>
  <c r="G5"/>
  <c r="H5" s="1"/>
  <c r="G4"/>
  <c r="H4" s="1"/>
  <c r="G3"/>
  <c r="H3" s="1"/>
  <c r="D24" i="6"/>
  <c r="H23"/>
  <c r="G23"/>
  <c r="H22"/>
  <c r="G22"/>
  <c r="G21"/>
  <c r="H21" s="1"/>
  <c r="H19"/>
  <c r="D24" i="5"/>
  <c r="H21"/>
  <c r="H20"/>
  <c r="H14"/>
  <c r="H6"/>
  <c r="D24" i="4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2"/>
  <c r="H12" s="1"/>
  <c r="G11"/>
  <c r="H11" s="1"/>
  <c r="G10"/>
  <c r="H10" s="1"/>
  <c r="G9"/>
  <c r="H9" s="1"/>
  <c r="G7"/>
  <c r="H7" s="1"/>
  <c r="G6"/>
  <c r="H6" s="1"/>
  <c r="G5"/>
  <c r="H5" s="1"/>
  <c r="G4"/>
  <c r="H4" s="1"/>
  <c r="G3"/>
  <c r="H3" s="1"/>
  <c r="G23" i="1"/>
  <c r="H23" s="1"/>
  <c r="D24" i="3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2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H13"/>
  <c r="G13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1"/>
  <c r="B25" s="1"/>
  <c r="G13"/>
  <c r="H13" s="1"/>
  <c r="G14"/>
  <c r="H14" s="1"/>
  <c r="G15"/>
  <c r="H15" s="1"/>
  <c r="G16"/>
  <c r="H16" s="1"/>
  <c r="G17"/>
  <c r="H17" s="1"/>
  <c r="G18"/>
  <c r="H18" s="1"/>
  <c r="G19"/>
  <c r="H19" s="1"/>
  <c r="G20"/>
  <c r="H20" s="1"/>
  <c r="G21"/>
  <c r="H21" s="1"/>
  <c r="G22"/>
  <c r="H22" s="1"/>
  <c r="H25" i="2" l="1"/>
  <c r="H25" i="3" s="1"/>
  <c r="H25" i="4" s="1"/>
  <c r="H25" i="5" s="1"/>
  <c r="H25" i="6" s="1"/>
  <c r="H27" i="7" s="1"/>
  <c r="H25" i="8" s="1"/>
  <c r="H25" i="9" s="1"/>
  <c r="H25" i="10" s="1"/>
  <c r="H25" i="11" s="1"/>
  <c r="H25" i="12" s="1"/>
  <c r="B25" i="2"/>
  <c r="B25" i="3" s="1"/>
  <c r="B25" i="4" s="1"/>
  <c r="B25" i="5" s="1"/>
  <c r="B25" i="6" s="1"/>
  <c r="B27" i="7" s="1"/>
  <c r="B26" i="8" s="1"/>
  <c r="B25" i="9" s="1"/>
  <c r="B25" i="10" s="1"/>
  <c r="B25" i="11" s="1"/>
  <c r="B25" i="12" s="1"/>
</calcChain>
</file>

<file path=xl/sharedStrings.xml><?xml version="1.0" encoding="utf-8"?>
<sst xmlns="http://schemas.openxmlformats.org/spreadsheetml/2006/main" count="321" uniqueCount="196">
  <si>
    <t>Dates</t>
  </si>
  <si>
    <t>Désignation Sorties</t>
  </si>
  <si>
    <t>Distances</t>
  </si>
  <si>
    <t>Durées</t>
  </si>
  <si>
    <t>Vit. Moy.</t>
  </si>
  <si>
    <t>Remarques</t>
  </si>
  <si>
    <t>Nb</t>
  </si>
  <si>
    <t xml:space="preserve">Suivi Performances Janvier </t>
  </si>
  <si>
    <t>Suivi Performances Février</t>
  </si>
  <si>
    <t xml:space="preserve">Suivi Performances Mars </t>
  </si>
  <si>
    <t xml:space="preserve">Suivi Performances Avril </t>
  </si>
  <si>
    <t xml:space="preserve">Suivi Performances Mai </t>
  </si>
  <si>
    <t xml:space="preserve">Suivi Performances Juin </t>
  </si>
  <si>
    <t>Suivi Performances Juillet</t>
  </si>
  <si>
    <t xml:space="preserve">Suivi Performances Août </t>
  </si>
  <si>
    <t>Suivi Performances Septembre</t>
  </si>
  <si>
    <t xml:space="preserve">Suivi Performances Octobre </t>
  </si>
  <si>
    <t xml:space="preserve">Suivi Performances Novembre </t>
  </si>
  <si>
    <t xml:space="preserve">Suivi Performances Décembre </t>
  </si>
  <si>
    <t>Dév +</t>
  </si>
  <si>
    <t>Avoine La breille</t>
  </si>
  <si>
    <t>Seul</t>
  </si>
  <si>
    <t>Avoine Courléon Langeais</t>
  </si>
  <si>
    <t>Avoine Roiffé Coudray distré Turquant</t>
  </si>
  <si>
    <t>Avoine Ligré Luzé Rilly Theneuil IB</t>
  </si>
  <si>
    <t>Avoine Exo Cardio</t>
  </si>
  <si>
    <t>Durée 30'</t>
  </si>
  <si>
    <t>Avoine Panzoult Azay saché</t>
  </si>
  <si>
    <t>Avoine Morton Brézé parnay</t>
  </si>
  <si>
    <t>Avoine Tour St Gelin Faye</t>
  </si>
  <si>
    <t>Durée 45'</t>
  </si>
  <si>
    <t>Avoine Pouant Sammarçolles Beuxes</t>
  </si>
  <si>
    <t>Avoine montreuil bellay</t>
  </si>
  <si>
    <t>Avoine La Breille par bois Allonnes</t>
  </si>
  <si>
    <t>Avoine Courléon La Breille Allonnes</t>
  </si>
  <si>
    <t>Seul et froid</t>
  </si>
  <si>
    <t>Avoine Chacé Montreuil St léger Roiffé</t>
  </si>
  <si>
    <t>Seul et Vent</t>
  </si>
  <si>
    <t>Avoine Lerné Sammarçolles Pouant</t>
  </si>
  <si>
    <t>Avoine Courléon Vernantes Blou Chinon</t>
  </si>
  <si>
    <t>Avoine Courléon Breil Rillé langeais</t>
  </si>
  <si>
    <t>Avoine St Epain Bossée Maillé Nouâtre IB</t>
  </si>
  <si>
    <t>Avoine Couziers Bournand Basses</t>
  </si>
  <si>
    <t>Avoine Couesmé Messemé Angliers Ternay Roiffé</t>
  </si>
  <si>
    <t>Avoine Ceaux Angliers Martaizé 3 Moutiers</t>
  </si>
  <si>
    <t>Avoine Azay Nueil Panzoult</t>
  </si>
  <si>
    <t>Avoine Saumur Antoigné St Léger Roiffé</t>
  </si>
  <si>
    <t>Avoine Roiffé Chétigné Chacé Parnay</t>
  </si>
  <si>
    <t>Vent fort</t>
  </si>
  <si>
    <t>Rencontre Printemps 2019 Chinon</t>
  </si>
  <si>
    <t>Gennes Louerre Meigné Coudray</t>
  </si>
  <si>
    <t>pluie et vent</t>
  </si>
  <si>
    <t>Thoureuil Chemellier louerre Verrie</t>
  </si>
  <si>
    <t>Avoine Dampierre Montreuil Fontevraud</t>
  </si>
  <si>
    <t>USEAB</t>
  </si>
  <si>
    <t>Courléon Breil Savigné/Lathan Langeais</t>
  </si>
  <si>
    <t>Montreuil Argenton St Varent 3 Moutiers</t>
  </si>
  <si>
    <t>Rillé Langeais</t>
  </si>
  <si>
    <t>Avoine St Paterne Semblençay</t>
  </si>
  <si>
    <t xml:space="preserve">Vent </t>
  </si>
  <si>
    <t>Balade Club USEAB</t>
  </si>
  <si>
    <t>1° sortie Evelyne</t>
  </si>
  <si>
    <t>Avoine Avrillé Langeais</t>
  </si>
  <si>
    <t>Avoine Avrillé Rillé Gizeux Les Essarts</t>
  </si>
  <si>
    <t>Avec Bourgueil</t>
  </si>
  <si>
    <t>Avoine IB pouant</t>
  </si>
  <si>
    <t>2° sortie Evelyne</t>
  </si>
  <si>
    <t>Avoine IB Descarte Grd Pressigny Dangé</t>
  </si>
  <si>
    <t>Avoine Brissac</t>
  </si>
  <si>
    <t>Vent</t>
  </si>
  <si>
    <t>Avoine Essai réglage éclairage dans Véron</t>
  </si>
  <si>
    <t>BRM 300 2019 Ménigoute</t>
  </si>
  <si>
    <t>Pluie et Vent</t>
  </si>
  <si>
    <t xml:space="preserve">BRM 200 2019 Ménigoute </t>
  </si>
  <si>
    <t>BRM 200 2019 St Georges les Baillargeaux</t>
  </si>
  <si>
    <t>Avoine Dénezé Sous Doué Gennes</t>
  </si>
  <si>
    <t>Avoine Les Essarts Rillé Gizeux</t>
  </si>
  <si>
    <t>Avoine Courléon Avrillé Langeais</t>
  </si>
  <si>
    <t>Avoine Distré Montford vaudelnay</t>
  </si>
  <si>
    <t>Avoine Montreuil Ambillou</t>
  </si>
  <si>
    <t>avec Serge PALAT</t>
  </si>
  <si>
    <t>Avoine Hommes Cléré Langeais</t>
  </si>
  <si>
    <t>BRM 400 2019 Ménigoute</t>
  </si>
  <si>
    <t>Nuit très froide (-2°)</t>
  </si>
  <si>
    <t>Avoine Bournand Glénouze Ternay</t>
  </si>
  <si>
    <t>Avoine Breil Pernay 5 Mars</t>
  </si>
  <si>
    <t>Chinon St Paterne</t>
  </si>
  <si>
    <t>Avoine Panzoult Cheillé Artannes</t>
  </si>
  <si>
    <t>Vent et groupe</t>
  </si>
  <si>
    <t>Reconnaissance TIL 2019 (début)</t>
  </si>
  <si>
    <t>Avoine Les loges Gizeux Avrillé</t>
  </si>
  <si>
    <t>Avoine Le Lude Sonzay</t>
  </si>
  <si>
    <t>Avoine  Rigny</t>
  </si>
  <si>
    <t>Sortie Evelyne</t>
  </si>
  <si>
    <t>BRM 600 2019 Ménigoute</t>
  </si>
  <si>
    <t>Avoine gennes Doué</t>
  </si>
  <si>
    <t>Avoine IB Pouzay nueil Azay</t>
  </si>
  <si>
    <t>Chinon Richelieu voie verte</t>
  </si>
  <si>
    <t>Avec Evelyne</t>
  </si>
  <si>
    <t>5 mars la pile Avoine</t>
  </si>
  <si>
    <t>Avoine Le Puy Argenton Vrères</t>
  </si>
  <si>
    <t>Avoine Gennes Doué Le Puy Roiffé</t>
  </si>
  <si>
    <t>Avoine 3 Moutiers Antoigné Chacé</t>
  </si>
  <si>
    <t>Avoine Turquant avec LOULOU</t>
  </si>
  <si>
    <t>Avec LOULOU</t>
  </si>
  <si>
    <t>Sortie MOULIHERNE rallongée</t>
  </si>
  <si>
    <t>Avoine Gennes louerre Cizay</t>
  </si>
  <si>
    <t>Avoine gennes longué Blou Bourgueil</t>
  </si>
  <si>
    <t>Avoine Benais Avrillé Cléré Langeais</t>
  </si>
  <si>
    <t>Avoine Varennes candes</t>
  </si>
  <si>
    <t>3 Moutiers Angliers Ceaux</t>
  </si>
  <si>
    <t>Avoine Montreuil St Léger</t>
  </si>
  <si>
    <t>Avoine langeais Courléon Bourgueil</t>
  </si>
  <si>
    <t>Avoine Azay saché Nueil Cravant</t>
  </si>
  <si>
    <t>Avoine St Paterne</t>
  </si>
  <si>
    <t>Avoine Courtineau St Branch Monts</t>
  </si>
  <si>
    <t>Avoine lignière Druye Ville perdue</t>
  </si>
  <si>
    <t>Avoine Courléon Blou</t>
  </si>
  <si>
    <t>ANJOU vélo VINTAGE Saumur</t>
  </si>
  <si>
    <t>Avoine Parçay Pernay Langeais</t>
  </si>
  <si>
    <t>Avoine Rillé Hommes Ingrandes</t>
  </si>
  <si>
    <t>Canal Nantes Brest Nort s Erdre</t>
  </si>
  <si>
    <t>Canal Nantes Brest Blain</t>
  </si>
  <si>
    <t>Canal Nantes Brest Fégréac</t>
  </si>
  <si>
    <t>Canal Nantes Brest Malestroit</t>
  </si>
  <si>
    <t>Canal Nantes Brest Gouarec</t>
  </si>
  <si>
    <t>Canal Nantes Brest Carhaix</t>
  </si>
  <si>
    <t>Canal Nantes Brest Chateauneuf du Faou</t>
  </si>
  <si>
    <t>Canal Nantes Brest Chateaulin</t>
  </si>
  <si>
    <t>Avoine Le Puy ND Distré</t>
  </si>
  <si>
    <t xml:space="preserve"> Balade USEAB</t>
  </si>
  <si>
    <t>Avoine Grand Pressigny</t>
  </si>
  <si>
    <t>Avoine St Branch Ligueuil</t>
  </si>
  <si>
    <t>Avoine Couréon Blou</t>
  </si>
  <si>
    <t>Avoine Thoureuil Doué</t>
  </si>
  <si>
    <t>Avoine Haut Poitou Mirebeau</t>
  </si>
  <si>
    <t>Avoine Chenehutte Forges Montreuil</t>
  </si>
  <si>
    <t>Chinon Vernoil Parçay courléon Bourgueil</t>
  </si>
  <si>
    <t>Avoine Poitiers</t>
  </si>
  <si>
    <t>Avoine Pouzay Azay</t>
  </si>
  <si>
    <t>Chinon Richelieu Marigny IB</t>
  </si>
  <si>
    <t>Chinon Richelieu Luzé Marcilly IB</t>
  </si>
  <si>
    <t>Avoine Montreuil Taizon Insay Verniers</t>
  </si>
  <si>
    <t>Avoine Montreuil Savoie</t>
  </si>
  <si>
    <t>Avoine  Vaudelnay Monfort St Cyr</t>
  </si>
  <si>
    <t>Chinon  Brézé Roiffé</t>
  </si>
  <si>
    <t>Chinon LIGUEIL</t>
  </si>
  <si>
    <t>Vacances VOSGES</t>
  </si>
  <si>
    <t>Col Schlucht</t>
  </si>
  <si>
    <t>Avoine Azay</t>
  </si>
  <si>
    <t>Chinon chacé Coudray douvy Bournand</t>
  </si>
  <si>
    <t>Avoine Montreuil St Léger saix</t>
  </si>
  <si>
    <t>Avoine Gennes Longué Blou</t>
  </si>
  <si>
    <t>Chinon Richelieu luzé Jaulnay Couesne</t>
  </si>
  <si>
    <t>Avoine Balade club USEAB</t>
  </si>
  <si>
    <t>Chinon Candes</t>
  </si>
  <si>
    <t>Avoine Chacé Courchamps Montreuil St Léger</t>
  </si>
  <si>
    <t>Chinon Chacé Courchamps Montreuil St Léger</t>
  </si>
  <si>
    <t>Avoine Saix st Léger 3 Moutiers Couziers</t>
  </si>
  <si>
    <t>Chinon 3 Moutiers Curçay brézé</t>
  </si>
  <si>
    <t>Chinon Messemé Angliers Mouterre Roiffé</t>
  </si>
  <si>
    <t>Chinon  Candes  La breille Bourgueil</t>
  </si>
  <si>
    <t>BREST - PARIS 2019</t>
  </si>
  <si>
    <t>PARIS - BREST 2019</t>
  </si>
  <si>
    <t>Avoine Champigny Roiffé</t>
  </si>
  <si>
    <t>Pluie</t>
  </si>
  <si>
    <t>Chinon Courléon Parçay Rillé Continvoir</t>
  </si>
  <si>
    <t>Pluie éparse</t>
  </si>
  <si>
    <t>Avoine Chaintre Roiffé</t>
  </si>
  <si>
    <t>Avoine St Cyr Fosse Bellay Montreuil</t>
  </si>
  <si>
    <t>balade club USEAB</t>
  </si>
  <si>
    <t>Chinon  3 Moutiers Ternay Saix roiffé</t>
  </si>
  <si>
    <t>Avoine Langeais La Rouchouze ingrandes</t>
  </si>
  <si>
    <t>Avoine Lerné Roiffé Montsoreau</t>
  </si>
  <si>
    <t>Avoine La Rouchouze Langeais</t>
  </si>
  <si>
    <t>Chinon 3 Moutiers Insay Bournand</t>
  </si>
  <si>
    <t>Avoine Couziers Samarçolles</t>
  </si>
  <si>
    <t>Avoine IB verneuil Champigny</t>
  </si>
  <si>
    <t>Chinon Turquant Chacé Roiffé</t>
  </si>
  <si>
    <t>Chinon Chacé Roiffé</t>
  </si>
  <si>
    <t>Avoine Villandry Bréhémont</t>
  </si>
  <si>
    <t>Avoine St Nicolas les Loges brain Bourgueil</t>
  </si>
  <si>
    <t>Chinon Cravant Nueil Saché Rigny Ussé</t>
  </si>
  <si>
    <t>Mouliherne Téléthon</t>
  </si>
  <si>
    <t>Avoine Chacé Courchamps bron St Cyr</t>
  </si>
  <si>
    <t>Chinon Bournand ternay Saix Roiffé</t>
  </si>
  <si>
    <t>Avoine Saumur Rou Marson Ulmes</t>
  </si>
  <si>
    <t>Chinon 3 Moutiers Saix</t>
  </si>
  <si>
    <t>Avoine Vivy Bourgueil</t>
  </si>
  <si>
    <t>Avoine Dampierre Brézé</t>
  </si>
  <si>
    <t>Avoine IB brizay Champigny Couesmé</t>
  </si>
  <si>
    <t>Essai GPS Explore</t>
  </si>
  <si>
    <t>Avoine la Breille Continvoir Bourgueil</t>
  </si>
  <si>
    <t>Avoine Saumur les Ulmes St Cyr</t>
  </si>
  <si>
    <t>Chinon Chenehutte Meigné St Cyr</t>
  </si>
  <si>
    <t>Avoine Azay Artannes St Epain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</si>
</sst>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1" xfId="0" applyNumberFormat="1" applyBorder="1"/>
    <xf numFmtId="14" fontId="0" fillId="0" borderId="2" xfId="0" applyNumberFormat="1" applyBorder="1"/>
    <xf numFmtId="0" fontId="0" fillId="0" borderId="2" xfId="0" applyBorder="1"/>
    <xf numFmtId="0" fontId="0" fillId="0" borderId="2" xfId="0" applyNumberFormat="1" applyBorder="1"/>
    <xf numFmtId="164" fontId="0" fillId="0" borderId="2" xfId="0" applyNumberFormat="1" applyBorder="1"/>
    <xf numFmtId="0" fontId="2" fillId="0" borderId="3" xfId="0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2" fillId="0" borderId="5" xfId="0" applyFont="1" applyBorder="1"/>
    <xf numFmtId="0" fontId="0" fillId="0" borderId="1" xfId="0" applyFill="1" applyBorder="1"/>
    <xf numFmtId="14" fontId="0" fillId="0" borderId="1" xfId="0" applyNumberFormat="1" applyFill="1" applyBorder="1"/>
    <xf numFmtId="0" fontId="0" fillId="0" borderId="2" xfId="0" applyFill="1" applyBorder="1"/>
    <xf numFmtId="0" fontId="0" fillId="0" borderId="1" xfId="0" applyNumberFormat="1" applyFill="1" applyBorder="1"/>
    <xf numFmtId="164" fontId="0" fillId="0" borderId="1" xfId="0" applyNumberFormat="1" applyFill="1" applyBorder="1"/>
    <xf numFmtId="14" fontId="0" fillId="0" borderId="2" xfId="0" applyNumberFormat="1" applyFill="1" applyBorder="1"/>
    <xf numFmtId="0" fontId="0" fillId="0" borderId="2" xfId="0" applyNumberFormat="1" applyFill="1" applyBorder="1"/>
    <xf numFmtId="164" fontId="0" fillId="0" borderId="2" xfId="0" applyNumberFormat="1" applyFill="1" applyBorder="1"/>
    <xf numFmtId="16" fontId="0" fillId="0" borderId="0" xfId="0" applyNumberFormat="1"/>
    <xf numFmtId="0" fontId="0" fillId="0" borderId="0" xfId="0" applyFill="1"/>
    <xf numFmtId="0" fontId="2" fillId="0" borderId="6" xfId="0" applyFont="1" applyBorder="1"/>
    <xf numFmtId="0" fontId="0" fillId="0" borderId="1" xfId="0" applyFont="1" applyBorder="1"/>
    <xf numFmtId="0" fontId="3" fillId="0" borderId="1" xfId="0" applyFont="1" applyFill="1" applyBorder="1"/>
    <xf numFmtId="0" fontId="1" fillId="0" borderId="0" xfId="0" applyFont="1" applyAlignment="1">
      <alignment horizontal="center"/>
    </xf>
    <xf numFmtId="0" fontId="0" fillId="0" borderId="0" xfId="0" applyNumberFormat="1" applyFill="1"/>
    <xf numFmtId="0" fontId="1" fillId="0" borderId="7" xfId="0" applyFont="1" applyBorder="1" applyAlignment="1"/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0" fontId="3" fillId="0" borderId="1" xfId="0" applyFont="1" applyBorder="1"/>
    <xf numFmtId="14" fontId="0" fillId="0" borderId="0" xfId="0" applyNumberFormat="1" applyBorder="1"/>
    <xf numFmtId="0" fontId="0" fillId="0" borderId="0" xfId="0" applyBorder="1"/>
    <xf numFmtId="0" fontId="0" fillId="0" borderId="0" xfId="0" applyNumberFormat="1" applyBorder="1"/>
    <xf numFmtId="164" fontId="0" fillId="0" borderId="0" xfId="0" applyNumberFormat="1" applyBorder="1"/>
    <xf numFmtId="16" fontId="0" fillId="0" borderId="1" xfId="0" applyNumberFormat="1" applyBorder="1"/>
    <xf numFmtId="0" fontId="0" fillId="2" borderId="1" xfId="0" applyFill="1" applyBorder="1"/>
    <xf numFmtId="14" fontId="0" fillId="3" borderId="1" xfId="0" applyNumberForma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1" xfId="0" applyNumberFormat="1" applyFill="1" applyBorder="1"/>
    <xf numFmtId="164" fontId="0" fillId="3" borderId="1" xfId="0" applyNumberFormat="1" applyFill="1" applyBorder="1"/>
    <xf numFmtId="164" fontId="0" fillId="3" borderId="2" xfId="0" applyNumberFormat="1" applyFill="1" applyBorder="1"/>
    <xf numFmtId="0" fontId="4" fillId="4" borderId="0" xfId="0" applyFont="1" applyFill="1"/>
    <xf numFmtId="0" fontId="4" fillId="4" borderId="1" xfId="0" applyFont="1" applyFill="1" applyBorder="1"/>
    <xf numFmtId="0" fontId="5" fillId="0" borderId="1" xfId="0" applyFont="1" applyFill="1" applyBorder="1"/>
    <xf numFmtId="0" fontId="5" fillId="0" borderId="1" xfId="0" applyNumberFormat="1" applyFont="1" applyFill="1" applyBorder="1"/>
    <xf numFmtId="0" fontId="5" fillId="0" borderId="1" xfId="0" applyFont="1" applyBorder="1"/>
    <xf numFmtId="164" fontId="5" fillId="0" borderId="1" xfId="0" applyNumberFormat="1" applyFont="1" applyFill="1" applyBorder="1"/>
    <xf numFmtId="164" fontId="5" fillId="0" borderId="2" xfId="0" applyNumberFormat="1" applyFont="1" applyBorder="1"/>
    <xf numFmtId="164" fontId="5" fillId="0" borderId="1" xfId="0" applyNumberFormat="1" applyFont="1" applyBorder="1"/>
    <xf numFmtId="0" fontId="0" fillId="0" borderId="9" xfId="0" applyNumberFormat="1" applyFill="1" applyBorder="1"/>
    <xf numFmtId="0" fontId="2" fillId="0" borderId="4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opLeftCell="A4" workbookViewId="0">
      <selection activeCell="D28" sqref="D28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5703125" style="2" bestFit="1" customWidth="1"/>
    <col min="9" max="9" width="11.5703125" style="2" customWidth="1"/>
    <col min="10" max="11" width="18.5703125" customWidth="1"/>
  </cols>
  <sheetData>
    <row r="1" spans="1:11" ht="27" thickBot="1">
      <c r="A1" s="57" t="s">
        <v>7</v>
      </c>
      <c r="B1" s="57"/>
      <c r="C1" s="57"/>
      <c r="D1" s="57"/>
      <c r="E1" s="57"/>
      <c r="F1" s="57"/>
      <c r="G1" s="57"/>
      <c r="H1" s="31">
        <v>2019</v>
      </c>
      <c r="I1" s="32"/>
      <c r="J1" s="30"/>
    </row>
    <row r="2" spans="1:11" ht="19.5" thickBot="1">
      <c r="A2" s="11" t="s">
        <v>0</v>
      </c>
      <c r="B2" s="12" t="s">
        <v>1</v>
      </c>
      <c r="C2" s="12" t="s">
        <v>6</v>
      </c>
      <c r="D2" s="12" t="s">
        <v>2</v>
      </c>
      <c r="E2" s="56" t="s">
        <v>3</v>
      </c>
      <c r="F2" s="56"/>
      <c r="G2" s="56"/>
      <c r="H2" s="13" t="s">
        <v>4</v>
      </c>
      <c r="I2" s="33" t="s">
        <v>19</v>
      </c>
      <c r="J2" s="14" t="s">
        <v>5</v>
      </c>
    </row>
    <row r="3" spans="1:11">
      <c r="A3" s="20">
        <v>43473</v>
      </c>
      <c r="B3" s="17" t="s">
        <v>20</v>
      </c>
      <c r="C3" s="8">
        <v>1</v>
      </c>
      <c r="D3" s="17">
        <v>71</v>
      </c>
      <c r="E3" s="21">
        <v>2</v>
      </c>
      <c r="F3" s="21">
        <v>58</v>
      </c>
      <c r="G3" s="8">
        <f>SUM(E3*60+F3)</f>
        <v>178</v>
      </c>
      <c r="H3" s="10">
        <f>SUM(D3/G3*60)</f>
        <v>23.932584269662918</v>
      </c>
      <c r="I3" s="10">
        <v>247</v>
      </c>
      <c r="J3" s="17" t="s">
        <v>21</v>
      </c>
    </row>
    <row r="4" spans="1:11">
      <c r="A4" s="16">
        <v>43475</v>
      </c>
      <c r="B4" s="15" t="s">
        <v>22</v>
      </c>
      <c r="C4" s="8">
        <v>2</v>
      </c>
      <c r="D4" s="15">
        <v>79</v>
      </c>
      <c r="E4" s="18">
        <v>3</v>
      </c>
      <c r="F4" s="18">
        <v>20</v>
      </c>
      <c r="G4" s="3">
        <f t="shared" ref="G4:G23" si="0">SUM(E4*60+F4)</f>
        <v>200</v>
      </c>
      <c r="H4" s="4">
        <f t="shared" ref="H4:H23" si="1">SUM(D4/G4*60)</f>
        <v>23.700000000000003</v>
      </c>
      <c r="I4" s="10">
        <v>469</v>
      </c>
      <c r="J4" s="17" t="s">
        <v>21</v>
      </c>
    </row>
    <row r="5" spans="1:11">
      <c r="A5" s="5">
        <v>43477</v>
      </c>
      <c r="B5" s="3" t="s">
        <v>23</v>
      </c>
      <c r="C5" s="8">
        <v>3</v>
      </c>
      <c r="D5" s="3">
        <v>72</v>
      </c>
      <c r="E5" s="6">
        <v>3</v>
      </c>
      <c r="F5" s="6">
        <v>14</v>
      </c>
      <c r="G5" s="3">
        <f t="shared" si="0"/>
        <v>194</v>
      </c>
      <c r="H5" s="4">
        <f t="shared" si="1"/>
        <v>22.268041237113401</v>
      </c>
      <c r="I5" s="19">
        <v>390</v>
      </c>
      <c r="J5" s="39"/>
    </row>
    <row r="6" spans="1:11">
      <c r="A6" s="5">
        <v>43480</v>
      </c>
      <c r="B6" s="3" t="s">
        <v>24</v>
      </c>
      <c r="C6" s="8">
        <v>4</v>
      </c>
      <c r="D6" s="3">
        <v>79</v>
      </c>
      <c r="E6" s="6">
        <v>3</v>
      </c>
      <c r="F6" s="6">
        <v>17</v>
      </c>
      <c r="G6" s="3">
        <f t="shared" si="0"/>
        <v>197</v>
      </c>
      <c r="H6" s="4">
        <f t="shared" si="1"/>
        <v>24.060913705583754</v>
      </c>
      <c r="I6" s="19">
        <v>490</v>
      </c>
      <c r="J6" s="8" t="s">
        <v>21</v>
      </c>
    </row>
    <row r="7" spans="1:11">
      <c r="A7" s="5">
        <v>43481</v>
      </c>
      <c r="B7" s="3" t="s">
        <v>25</v>
      </c>
      <c r="C7" s="8">
        <v>5</v>
      </c>
      <c r="D7" s="3">
        <v>20</v>
      </c>
      <c r="E7" s="6"/>
      <c r="F7" s="6">
        <v>54</v>
      </c>
      <c r="G7" s="3">
        <f t="shared" si="0"/>
        <v>54</v>
      </c>
      <c r="H7" s="4">
        <f t="shared" si="1"/>
        <v>22.222222222222221</v>
      </c>
      <c r="I7" s="19">
        <v>229</v>
      </c>
      <c r="J7" s="8" t="s">
        <v>26</v>
      </c>
    </row>
    <row r="8" spans="1:11">
      <c r="A8" s="5">
        <v>43483</v>
      </c>
      <c r="B8" s="3" t="s">
        <v>27</v>
      </c>
      <c r="C8" s="8">
        <v>6</v>
      </c>
      <c r="D8" s="3">
        <v>79</v>
      </c>
      <c r="E8" s="6">
        <v>3</v>
      </c>
      <c r="F8" s="6">
        <v>16</v>
      </c>
      <c r="G8" s="3">
        <f t="shared" si="0"/>
        <v>196</v>
      </c>
      <c r="H8" s="4">
        <f t="shared" si="1"/>
        <v>24.183673469387756</v>
      </c>
      <c r="I8" s="19">
        <v>294</v>
      </c>
      <c r="J8" s="3" t="s">
        <v>21</v>
      </c>
    </row>
    <row r="9" spans="1:11">
      <c r="A9" s="5">
        <v>43484</v>
      </c>
      <c r="B9" t="s">
        <v>28</v>
      </c>
      <c r="C9" s="8">
        <v>7</v>
      </c>
      <c r="D9" s="3">
        <v>62</v>
      </c>
      <c r="E9" s="6">
        <v>2</v>
      </c>
      <c r="F9" s="6">
        <v>35</v>
      </c>
      <c r="G9" s="3">
        <f t="shared" si="0"/>
        <v>155</v>
      </c>
      <c r="H9" s="4">
        <f t="shared" si="1"/>
        <v>24</v>
      </c>
      <c r="I9" s="19">
        <v>261</v>
      </c>
      <c r="J9" s="3"/>
      <c r="K9" s="23"/>
    </row>
    <row r="10" spans="1:11">
      <c r="A10" s="5">
        <v>43486</v>
      </c>
      <c r="B10" s="3" t="s">
        <v>29</v>
      </c>
      <c r="C10" s="8">
        <v>8</v>
      </c>
      <c r="D10" s="3">
        <v>86</v>
      </c>
      <c r="E10" s="6">
        <v>3</v>
      </c>
      <c r="F10" s="6">
        <v>44</v>
      </c>
      <c r="G10" s="3">
        <f t="shared" si="0"/>
        <v>224</v>
      </c>
      <c r="H10" s="4">
        <f t="shared" si="1"/>
        <v>23.035714285714288</v>
      </c>
      <c r="I10" s="10">
        <v>424</v>
      </c>
      <c r="J10" s="3" t="s">
        <v>21</v>
      </c>
    </row>
    <row r="11" spans="1:11">
      <c r="A11" s="5">
        <v>43488</v>
      </c>
      <c r="B11" s="3" t="s">
        <v>25</v>
      </c>
      <c r="C11" s="8">
        <v>9</v>
      </c>
      <c r="D11" s="3">
        <v>26</v>
      </c>
      <c r="E11" s="6">
        <v>1</v>
      </c>
      <c r="F11" s="6">
        <v>12</v>
      </c>
      <c r="G11" s="3">
        <f t="shared" si="0"/>
        <v>72</v>
      </c>
      <c r="H11" s="4">
        <f t="shared" si="1"/>
        <v>21.666666666666668</v>
      </c>
      <c r="I11" s="4">
        <v>347</v>
      </c>
      <c r="J11" s="8" t="s">
        <v>30</v>
      </c>
    </row>
    <row r="12" spans="1:11">
      <c r="A12" s="5">
        <v>43489</v>
      </c>
      <c r="B12" s="3" t="s">
        <v>31</v>
      </c>
      <c r="C12" s="8">
        <v>10</v>
      </c>
      <c r="D12" s="3">
        <v>80</v>
      </c>
      <c r="E12" s="6">
        <v>3</v>
      </c>
      <c r="F12" s="6">
        <v>23</v>
      </c>
      <c r="G12" s="3">
        <f t="shared" si="0"/>
        <v>203</v>
      </c>
      <c r="H12" s="4">
        <f t="shared" si="1"/>
        <v>23.645320197044335</v>
      </c>
      <c r="I12" s="4">
        <v>407</v>
      </c>
      <c r="J12" s="3" t="s">
        <v>21</v>
      </c>
    </row>
    <row r="13" spans="1:11">
      <c r="A13" s="5">
        <v>43491</v>
      </c>
      <c r="B13" s="3" t="s">
        <v>32</v>
      </c>
      <c r="C13" s="8">
        <v>11</v>
      </c>
      <c r="D13" s="3">
        <v>70</v>
      </c>
      <c r="E13" s="6">
        <v>2</v>
      </c>
      <c r="F13" s="6">
        <v>58</v>
      </c>
      <c r="G13" s="3">
        <f t="shared" si="0"/>
        <v>178</v>
      </c>
      <c r="H13" s="4">
        <f t="shared" si="1"/>
        <v>23.59550561797753</v>
      </c>
      <c r="I13" s="4">
        <v>333</v>
      </c>
      <c r="J13" s="3" t="s">
        <v>21</v>
      </c>
    </row>
    <row r="14" spans="1:11">
      <c r="A14" s="5">
        <v>43493</v>
      </c>
      <c r="B14" s="3" t="s">
        <v>33</v>
      </c>
      <c r="C14" s="8">
        <v>12</v>
      </c>
      <c r="D14" s="3">
        <v>73</v>
      </c>
      <c r="E14" s="6">
        <v>2</v>
      </c>
      <c r="F14" s="6">
        <v>59</v>
      </c>
      <c r="G14" s="3">
        <f t="shared" si="0"/>
        <v>179</v>
      </c>
      <c r="H14" s="4">
        <f t="shared" si="1"/>
        <v>24.46927374301676</v>
      </c>
      <c r="I14" s="4">
        <v>264</v>
      </c>
      <c r="J14" s="3" t="s">
        <v>21</v>
      </c>
    </row>
    <row r="15" spans="1:11">
      <c r="A15" s="5"/>
      <c r="B15" s="3"/>
      <c r="C15" s="8">
        <v>13</v>
      </c>
      <c r="D15" s="3"/>
      <c r="E15" s="6"/>
      <c r="F15" s="6"/>
      <c r="G15" s="3">
        <f t="shared" si="0"/>
        <v>0</v>
      </c>
      <c r="H15" s="4" t="e">
        <f t="shared" si="1"/>
        <v>#DIV/0!</v>
      </c>
      <c r="I15" s="4"/>
      <c r="J15" s="3"/>
    </row>
    <row r="16" spans="1:11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4"/>
      <c r="J16" s="3"/>
    </row>
    <row r="17" spans="1:10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3"/>
    </row>
    <row r="18" spans="1:10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</row>
    <row r="19" spans="1:10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>
      <c r="D24">
        <f>SUM(D3:D23)</f>
        <v>797</v>
      </c>
      <c r="I24" s="2">
        <f>SUM(I3:I23)</f>
        <v>4155</v>
      </c>
    </row>
    <row r="25" spans="1:10">
      <c r="B25">
        <f>SUM(D24+0)</f>
        <v>797</v>
      </c>
      <c r="H25" s="2">
        <f>SUM(I24+0)</f>
        <v>4155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topLeftCell="A10" workbookViewId="0">
      <selection activeCell="J13" sqref="J13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>
      <c r="A1" s="57" t="s">
        <v>8</v>
      </c>
      <c r="B1" s="57"/>
      <c r="C1" s="57"/>
      <c r="D1" s="57"/>
      <c r="E1" s="57"/>
      <c r="F1" s="57"/>
      <c r="G1" s="57"/>
      <c r="H1" s="28">
        <f>SUM(Janv!H1)</f>
        <v>2019</v>
      </c>
      <c r="I1" s="28"/>
      <c r="J1" s="28"/>
    </row>
    <row r="2" spans="1:10" ht="19.5" thickBot="1">
      <c r="A2" s="11" t="s">
        <v>0</v>
      </c>
      <c r="B2" s="12" t="s">
        <v>1</v>
      </c>
      <c r="C2" s="12" t="s">
        <v>6</v>
      </c>
      <c r="D2" s="12" t="s">
        <v>2</v>
      </c>
      <c r="E2" s="56" t="s">
        <v>3</v>
      </c>
      <c r="F2" s="56"/>
      <c r="G2" s="56"/>
      <c r="H2" s="13" t="s">
        <v>4</v>
      </c>
      <c r="I2" s="33" t="s">
        <v>19</v>
      </c>
      <c r="J2" s="14" t="s">
        <v>5</v>
      </c>
    </row>
    <row r="3" spans="1:10">
      <c r="A3" s="7">
        <v>43499</v>
      </c>
      <c r="B3" s="8" t="s">
        <v>34</v>
      </c>
      <c r="C3" s="8">
        <v>1</v>
      </c>
      <c r="D3" s="8">
        <v>71</v>
      </c>
      <c r="E3" s="9">
        <v>2</v>
      </c>
      <c r="F3" s="9">
        <v>59</v>
      </c>
      <c r="G3" s="8">
        <f>SUM(E3*60+F3)</f>
        <v>179</v>
      </c>
      <c r="H3" s="10">
        <f>SUM(D3/G3*60)</f>
        <v>23.798882681564248</v>
      </c>
      <c r="I3" s="10">
        <v>284</v>
      </c>
      <c r="J3" s="8" t="s">
        <v>35</v>
      </c>
    </row>
    <row r="4" spans="1:10">
      <c r="A4" s="5">
        <v>43503</v>
      </c>
      <c r="B4" s="3" t="s">
        <v>36</v>
      </c>
      <c r="C4" s="8">
        <v>2</v>
      </c>
      <c r="D4" s="3">
        <v>92</v>
      </c>
      <c r="E4" s="6">
        <v>3</v>
      </c>
      <c r="F4" s="6">
        <v>50</v>
      </c>
      <c r="G4" s="3">
        <f t="shared" ref="G4:G23" si="0">SUM(E4*60+F4)</f>
        <v>230</v>
      </c>
      <c r="H4" s="4">
        <f t="shared" ref="H4:H23" si="1">SUM(D4/G4*60)</f>
        <v>24</v>
      </c>
      <c r="I4" s="10">
        <v>491</v>
      </c>
      <c r="J4" s="3" t="s">
        <v>37</v>
      </c>
    </row>
    <row r="5" spans="1:10">
      <c r="A5" s="5">
        <v>43505</v>
      </c>
      <c r="B5" s="3" t="s">
        <v>38</v>
      </c>
      <c r="C5" s="8">
        <v>3</v>
      </c>
      <c r="D5" s="3">
        <v>71</v>
      </c>
      <c r="E5" s="6">
        <v>2</v>
      </c>
      <c r="F5" s="6">
        <v>55</v>
      </c>
      <c r="G5" s="3">
        <f t="shared" si="0"/>
        <v>175</v>
      </c>
      <c r="H5" s="4">
        <f t="shared" si="1"/>
        <v>24.342857142857142</v>
      </c>
      <c r="I5" s="19">
        <v>316</v>
      </c>
      <c r="J5" s="3"/>
    </row>
    <row r="6" spans="1:10">
      <c r="A6" s="5">
        <v>43507</v>
      </c>
      <c r="B6" s="3" t="s">
        <v>39</v>
      </c>
      <c r="C6" s="8">
        <v>4</v>
      </c>
      <c r="D6" s="3">
        <v>90</v>
      </c>
      <c r="E6" s="6">
        <v>3</v>
      </c>
      <c r="F6" s="6">
        <v>45</v>
      </c>
      <c r="G6" s="3">
        <f t="shared" si="0"/>
        <v>225</v>
      </c>
      <c r="H6" s="4">
        <f t="shared" si="1"/>
        <v>24</v>
      </c>
      <c r="I6" s="19">
        <v>357</v>
      </c>
      <c r="J6" s="3" t="s">
        <v>21</v>
      </c>
    </row>
    <row r="7" spans="1:10">
      <c r="A7" s="5">
        <v>43508</v>
      </c>
      <c r="B7" s="3" t="s">
        <v>40</v>
      </c>
      <c r="C7" s="8">
        <v>5</v>
      </c>
      <c r="D7" s="3">
        <v>101</v>
      </c>
      <c r="E7" s="6">
        <v>4</v>
      </c>
      <c r="F7" s="6">
        <v>7</v>
      </c>
      <c r="G7" s="3">
        <f t="shared" si="0"/>
        <v>247</v>
      </c>
      <c r="H7" s="4">
        <f t="shared" si="1"/>
        <v>24.534412955465584</v>
      </c>
      <c r="I7" s="19">
        <v>456</v>
      </c>
      <c r="J7" s="3" t="s">
        <v>21</v>
      </c>
    </row>
    <row r="8" spans="1:10">
      <c r="A8" s="5">
        <v>43509</v>
      </c>
      <c r="B8" s="3" t="s">
        <v>41</v>
      </c>
      <c r="C8" s="8">
        <v>6</v>
      </c>
      <c r="D8" s="3">
        <v>111</v>
      </c>
      <c r="E8" s="6">
        <v>4</v>
      </c>
      <c r="F8" s="6">
        <v>41</v>
      </c>
      <c r="G8" s="3">
        <f t="shared" si="0"/>
        <v>281</v>
      </c>
      <c r="H8" s="4">
        <f t="shared" si="1"/>
        <v>23.701067615658364</v>
      </c>
      <c r="I8" s="19">
        <v>409</v>
      </c>
      <c r="J8" s="3" t="s">
        <v>21</v>
      </c>
    </row>
    <row r="9" spans="1:10">
      <c r="A9" s="5">
        <v>43512</v>
      </c>
      <c r="B9" s="3" t="s">
        <v>42</v>
      </c>
      <c r="C9" s="8">
        <v>7</v>
      </c>
      <c r="D9" s="3">
        <v>61</v>
      </c>
      <c r="E9" s="6">
        <v>2</v>
      </c>
      <c r="F9" s="6">
        <v>32</v>
      </c>
      <c r="G9" s="3">
        <f t="shared" si="0"/>
        <v>152</v>
      </c>
      <c r="H9" s="4">
        <f t="shared" si="1"/>
        <v>24.078947368421055</v>
      </c>
      <c r="I9" s="19">
        <v>422</v>
      </c>
      <c r="J9" s="3"/>
    </row>
    <row r="10" spans="1:10">
      <c r="A10" s="5">
        <v>43515</v>
      </c>
      <c r="B10" s="3" t="s">
        <v>43</v>
      </c>
      <c r="C10" s="8">
        <v>8</v>
      </c>
      <c r="D10" s="3">
        <v>104</v>
      </c>
      <c r="E10" s="6">
        <v>4</v>
      </c>
      <c r="F10" s="6">
        <v>21</v>
      </c>
      <c r="G10" s="3">
        <f t="shared" si="0"/>
        <v>261</v>
      </c>
      <c r="H10" s="4">
        <f t="shared" si="1"/>
        <v>23.908045977011493</v>
      </c>
      <c r="I10" s="10">
        <v>691</v>
      </c>
      <c r="J10" s="3" t="s">
        <v>21</v>
      </c>
    </row>
    <row r="11" spans="1:10">
      <c r="A11" s="5">
        <v>43517</v>
      </c>
      <c r="B11" s="3" t="s">
        <v>44</v>
      </c>
      <c r="C11" s="8">
        <v>9</v>
      </c>
      <c r="D11" s="3">
        <v>107</v>
      </c>
      <c r="E11" s="6">
        <v>4</v>
      </c>
      <c r="F11" s="6">
        <v>29</v>
      </c>
      <c r="G11" s="3">
        <f t="shared" si="0"/>
        <v>269</v>
      </c>
      <c r="H11" s="4">
        <f t="shared" si="1"/>
        <v>23.866171003717472</v>
      </c>
      <c r="I11" s="4">
        <v>729</v>
      </c>
      <c r="J11" s="3" t="s">
        <v>21</v>
      </c>
    </row>
    <row r="12" spans="1:10">
      <c r="A12" s="5">
        <v>43520</v>
      </c>
      <c r="B12" s="3" t="s">
        <v>45</v>
      </c>
      <c r="C12" s="8">
        <v>10</v>
      </c>
      <c r="D12" s="3">
        <v>71</v>
      </c>
      <c r="E12" s="6">
        <v>2</v>
      </c>
      <c r="F12" s="6">
        <v>53</v>
      </c>
      <c r="G12" s="3">
        <f t="shared" si="0"/>
        <v>173</v>
      </c>
      <c r="H12" s="4">
        <f t="shared" si="1"/>
        <v>24.624277456647398</v>
      </c>
      <c r="I12" s="4">
        <v>280</v>
      </c>
      <c r="J12" s="3" t="s">
        <v>21</v>
      </c>
    </row>
    <row r="13" spans="1:10">
      <c r="A13" s="5">
        <v>43524</v>
      </c>
      <c r="B13" s="3" t="s">
        <v>46</v>
      </c>
      <c r="C13" s="8">
        <v>11</v>
      </c>
      <c r="D13" s="3">
        <v>86</v>
      </c>
      <c r="E13" s="6">
        <v>3</v>
      </c>
      <c r="F13" s="6">
        <v>26</v>
      </c>
      <c r="G13" s="3">
        <f t="shared" si="0"/>
        <v>206</v>
      </c>
      <c r="H13" s="4">
        <f t="shared" si="1"/>
        <v>25.048543689320386</v>
      </c>
      <c r="I13" s="4">
        <v>338</v>
      </c>
      <c r="J13" s="3" t="s">
        <v>37</v>
      </c>
    </row>
    <row r="14" spans="1:10">
      <c r="A14" s="5"/>
      <c r="B14" s="3"/>
      <c r="C14" s="8">
        <v>12</v>
      </c>
      <c r="D14" s="3"/>
      <c r="E14" s="6"/>
      <c r="F14" s="6"/>
      <c r="G14" s="3">
        <f t="shared" si="0"/>
        <v>0</v>
      </c>
      <c r="H14" s="4" t="e">
        <f t="shared" si="1"/>
        <v>#DIV/0!</v>
      </c>
      <c r="I14" s="4"/>
      <c r="J14" s="3"/>
    </row>
    <row r="15" spans="1:10">
      <c r="A15" s="5"/>
      <c r="B15" s="3"/>
      <c r="C15" s="8">
        <v>13</v>
      </c>
      <c r="D15" s="3"/>
      <c r="E15" s="6"/>
      <c r="F15" s="6"/>
      <c r="G15" s="3">
        <f t="shared" si="0"/>
        <v>0</v>
      </c>
      <c r="H15" s="4" t="e">
        <f t="shared" si="1"/>
        <v>#DIV/0!</v>
      </c>
      <c r="I15" s="4"/>
      <c r="J15" s="3"/>
    </row>
    <row r="16" spans="1:10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4"/>
      <c r="J16" s="3"/>
    </row>
    <row r="17" spans="1:10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3"/>
    </row>
    <row r="18" spans="1:10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</row>
    <row r="19" spans="1:10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>
      <c r="D24">
        <f>SUM(D3:D23)</f>
        <v>965</v>
      </c>
      <c r="I24" s="2">
        <f>SUM(I3:I23)</f>
        <v>4773</v>
      </c>
    </row>
    <row r="25" spans="1:10">
      <c r="B25">
        <f>SUM(Janv!B25+Fév!D24)</f>
        <v>1762</v>
      </c>
      <c r="H25" s="2">
        <f>SUM(Janv!H25+Fév!I24)</f>
        <v>8928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B28" sqref="B28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>
      <c r="A1" s="57" t="s">
        <v>9</v>
      </c>
      <c r="B1" s="57"/>
      <c r="C1" s="57"/>
      <c r="D1" s="57"/>
      <c r="E1" s="57"/>
      <c r="F1" s="57"/>
      <c r="G1" s="57"/>
      <c r="H1" s="28">
        <f>SUM(Janv!H1)</f>
        <v>2019</v>
      </c>
      <c r="I1" s="28"/>
      <c r="J1" s="28"/>
    </row>
    <row r="2" spans="1:10" ht="19.5" thickBot="1">
      <c r="A2" s="11" t="s">
        <v>0</v>
      </c>
      <c r="B2" s="12" t="s">
        <v>1</v>
      </c>
      <c r="C2" s="12" t="s">
        <v>6</v>
      </c>
      <c r="D2" s="12" t="s">
        <v>2</v>
      </c>
      <c r="E2" s="56" t="s">
        <v>3</v>
      </c>
      <c r="F2" s="56"/>
      <c r="G2" s="56"/>
      <c r="H2" s="13" t="s">
        <v>4</v>
      </c>
      <c r="I2" s="33" t="s">
        <v>19</v>
      </c>
      <c r="J2" s="14" t="s">
        <v>5</v>
      </c>
    </row>
    <row r="3" spans="1:10">
      <c r="A3" s="7">
        <v>43526</v>
      </c>
      <c r="B3" s="8" t="s">
        <v>47</v>
      </c>
      <c r="C3" s="8">
        <v>1</v>
      </c>
      <c r="D3" s="8">
        <v>72</v>
      </c>
      <c r="E3" s="9">
        <v>3</v>
      </c>
      <c r="F3" s="9">
        <v>5</v>
      </c>
      <c r="G3" s="8">
        <f>SUM(E3*60+F3)</f>
        <v>185</v>
      </c>
      <c r="H3" s="10">
        <f>SUM(D3/G3*60)</f>
        <v>23.351351351351354</v>
      </c>
      <c r="I3" s="10">
        <v>363</v>
      </c>
      <c r="J3" s="8" t="s">
        <v>48</v>
      </c>
    </row>
    <row r="4" spans="1:10">
      <c r="A4" s="5">
        <v>43527</v>
      </c>
      <c r="B4" s="3" t="s">
        <v>49</v>
      </c>
      <c r="C4" s="8">
        <v>2</v>
      </c>
      <c r="D4" s="3">
        <v>41</v>
      </c>
      <c r="E4" s="6">
        <v>1</v>
      </c>
      <c r="F4" s="6">
        <v>52</v>
      </c>
      <c r="G4" s="3">
        <f t="shared" ref="G4:G23" si="0">SUM(E4*60+F4)</f>
        <v>112</v>
      </c>
      <c r="H4" s="4">
        <f t="shared" ref="H4:H23" si="1">SUM(D4/G4*60)</f>
        <v>21.964285714285712</v>
      </c>
      <c r="I4" s="10">
        <v>133</v>
      </c>
      <c r="J4" s="3"/>
    </row>
    <row r="5" spans="1:10">
      <c r="A5" s="5">
        <v>43529</v>
      </c>
      <c r="B5" s="3" t="s">
        <v>50</v>
      </c>
      <c r="C5" s="8">
        <v>3</v>
      </c>
      <c r="D5" s="3">
        <v>112</v>
      </c>
      <c r="E5" s="6">
        <v>4</v>
      </c>
      <c r="F5" s="6">
        <v>39</v>
      </c>
      <c r="G5" s="3">
        <f t="shared" si="0"/>
        <v>279</v>
      </c>
      <c r="H5" s="4">
        <f t="shared" si="1"/>
        <v>24.086021505376344</v>
      </c>
      <c r="I5" s="19">
        <v>588</v>
      </c>
      <c r="J5" s="3" t="s">
        <v>51</v>
      </c>
    </row>
    <row r="6" spans="1:10">
      <c r="A6" s="5">
        <v>43531</v>
      </c>
      <c r="B6" s="3" t="s">
        <v>52</v>
      </c>
      <c r="C6" s="8">
        <v>4</v>
      </c>
      <c r="D6" s="3">
        <v>126</v>
      </c>
      <c r="E6" s="6">
        <v>5</v>
      </c>
      <c r="F6" s="6">
        <v>18</v>
      </c>
      <c r="G6" s="3">
        <f t="shared" si="0"/>
        <v>318</v>
      </c>
      <c r="H6" s="4">
        <f t="shared" si="1"/>
        <v>23.773584905660378</v>
      </c>
      <c r="I6" s="19">
        <v>541</v>
      </c>
      <c r="J6" s="3" t="s">
        <v>51</v>
      </c>
    </row>
    <row r="7" spans="1:10">
      <c r="A7" s="5">
        <v>43533</v>
      </c>
      <c r="B7" s="3" t="s">
        <v>53</v>
      </c>
      <c r="C7" s="8">
        <v>5</v>
      </c>
      <c r="D7" s="3">
        <v>75</v>
      </c>
      <c r="E7" s="6">
        <v>3</v>
      </c>
      <c r="F7" s="6">
        <v>4</v>
      </c>
      <c r="G7" s="3">
        <f t="shared" si="0"/>
        <v>184</v>
      </c>
      <c r="H7" s="4">
        <f t="shared" si="1"/>
        <v>24.456521739130434</v>
      </c>
      <c r="I7" s="19">
        <v>249</v>
      </c>
      <c r="J7" s="3" t="s">
        <v>54</v>
      </c>
    </row>
    <row r="8" spans="1:10">
      <c r="A8" s="5">
        <v>43535</v>
      </c>
      <c r="B8" s="3" t="s">
        <v>56</v>
      </c>
      <c r="C8" s="8">
        <v>6</v>
      </c>
      <c r="D8" s="3">
        <v>158</v>
      </c>
      <c r="E8" s="6">
        <v>6</v>
      </c>
      <c r="F8" s="6">
        <v>54</v>
      </c>
      <c r="G8" s="3">
        <f t="shared" si="0"/>
        <v>414</v>
      </c>
      <c r="H8" s="4">
        <f t="shared" si="1"/>
        <v>22.89855072463768</v>
      </c>
      <c r="I8" s="19">
        <v>846</v>
      </c>
      <c r="J8" s="3" t="s">
        <v>48</v>
      </c>
    </row>
    <row r="9" spans="1:10">
      <c r="A9" s="5">
        <v>43540</v>
      </c>
      <c r="B9" s="3" t="s">
        <v>73</v>
      </c>
      <c r="C9" s="8">
        <v>7</v>
      </c>
      <c r="D9" s="3">
        <v>205</v>
      </c>
      <c r="E9" s="6">
        <v>8</v>
      </c>
      <c r="F9" s="6">
        <v>55</v>
      </c>
      <c r="G9" s="3">
        <f t="shared" si="0"/>
        <v>535</v>
      </c>
      <c r="H9" s="4">
        <f t="shared" si="1"/>
        <v>22.990654205607477</v>
      </c>
      <c r="I9" s="19">
        <v>1447</v>
      </c>
      <c r="J9" s="3" t="s">
        <v>48</v>
      </c>
    </row>
    <row r="10" spans="1:10">
      <c r="A10" s="5">
        <v>43543</v>
      </c>
      <c r="B10" s="3" t="s">
        <v>55</v>
      </c>
      <c r="C10" s="8">
        <v>8</v>
      </c>
      <c r="D10" s="3">
        <v>95</v>
      </c>
      <c r="E10" s="6">
        <v>3</v>
      </c>
      <c r="F10" s="6">
        <v>55</v>
      </c>
      <c r="G10" s="3">
        <f t="shared" si="0"/>
        <v>235</v>
      </c>
      <c r="H10" s="4">
        <f t="shared" si="1"/>
        <v>24.25531914893617</v>
      </c>
      <c r="I10" s="10">
        <v>369</v>
      </c>
      <c r="J10" s="3"/>
    </row>
    <row r="11" spans="1:10">
      <c r="A11" s="5">
        <v>43544</v>
      </c>
      <c r="B11" s="3" t="s">
        <v>57</v>
      </c>
      <c r="C11" s="8">
        <v>9</v>
      </c>
      <c r="D11" s="3">
        <v>88</v>
      </c>
      <c r="E11" s="6">
        <v>3</v>
      </c>
      <c r="F11" s="6">
        <v>29</v>
      </c>
      <c r="G11" s="3">
        <f t="shared" si="0"/>
        <v>209</v>
      </c>
      <c r="H11" s="4">
        <f t="shared" si="1"/>
        <v>25.263157894736842</v>
      </c>
      <c r="I11" s="4">
        <v>272</v>
      </c>
      <c r="J11" s="3"/>
    </row>
    <row r="12" spans="1:10">
      <c r="A12" s="5">
        <v>43545</v>
      </c>
      <c r="B12" s="3" t="s">
        <v>58</v>
      </c>
      <c r="C12" s="8">
        <v>10</v>
      </c>
      <c r="D12" s="3">
        <v>144</v>
      </c>
      <c r="E12" s="6">
        <v>6</v>
      </c>
      <c r="F12" s="6">
        <v>7</v>
      </c>
      <c r="G12" s="3">
        <f t="shared" si="0"/>
        <v>367</v>
      </c>
      <c r="H12" s="4">
        <f t="shared" si="1"/>
        <v>23.542234332425068</v>
      </c>
      <c r="I12" s="4">
        <v>744</v>
      </c>
      <c r="J12" s="3" t="s">
        <v>59</v>
      </c>
    </row>
    <row r="13" spans="1:10">
      <c r="A13" s="5">
        <v>43547</v>
      </c>
      <c r="B13" s="3" t="s">
        <v>62</v>
      </c>
      <c r="C13" s="8">
        <v>11</v>
      </c>
      <c r="D13" s="3">
        <v>75</v>
      </c>
      <c r="E13" s="6">
        <v>2</v>
      </c>
      <c r="F13" s="6">
        <v>57</v>
      </c>
      <c r="G13" s="3">
        <f t="shared" si="0"/>
        <v>177</v>
      </c>
      <c r="H13" s="4">
        <f t="shared" si="1"/>
        <v>25.423728813559322</v>
      </c>
      <c r="I13" s="4">
        <v>335</v>
      </c>
      <c r="J13" s="3" t="s">
        <v>54</v>
      </c>
    </row>
    <row r="14" spans="1:10">
      <c r="A14" s="5">
        <v>43547</v>
      </c>
      <c r="B14" s="3" t="s">
        <v>60</v>
      </c>
      <c r="C14" s="8">
        <v>12</v>
      </c>
      <c r="D14" s="3">
        <v>25</v>
      </c>
      <c r="E14" s="6">
        <v>1</v>
      </c>
      <c r="F14" s="6">
        <v>37</v>
      </c>
      <c r="G14" s="3">
        <f t="shared" si="0"/>
        <v>97</v>
      </c>
      <c r="H14" s="4">
        <f t="shared" si="1"/>
        <v>15.463917525773194</v>
      </c>
      <c r="I14" s="4">
        <v>18</v>
      </c>
      <c r="J14" s="40" t="s">
        <v>61</v>
      </c>
    </row>
    <row r="15" spans="1:10">
      <c r="A15" s="5">
        <v>43550</v>
      </c>
      <c r="B15" s="3" t="s">
        <v>63</v>
      </c>
      <c r="C15" s="8">
        <v>13</v>
      </c>
      <c r="D15" s="3">
        <v>110</v>
      </c>
      <c r="E15" s="6">
        <v>4</v>
      </c>
      <c r="F15" s="6">
        <v>14</v>
      </c>
      <c r="G15" s="3">
        <f t="shared" si="0"/>
        <v>254</v>
      </c>
      <c r="H15" s="4">
        <f t="shared" si="1"/>
        <v>25.984251968503937</v>
      </c>
      <c r="I15" s="4">
        <v>506</v>
      </c>
      <c r="J15" s="8" t="s">
        <v>64</v>
      </c>
    </row>
    <row r="16" spans="1:10">
      <c r="A16" s="5">
        <v>43553</v>
      </c>
      <c r="B16" s="3" t="s">
        <v>67</v>
      </c>
      <c r="C16" s="8">
        <v>14</v>
      </c>
      <c r="D16" s="3">
        <v>144</v>
      </c>
      <c r="E16" s="6">
        <v>6</v>
      </c>
      <c r="F16" s="6">
        <v>0</v>
      </c>
      <c r="G16" s="3">
        <f t="shared" si="0"/>
        <v>360</v>
      </c>
      <c r="H16" s="4">
        <f t="shared" si="1"/>
        <v>24</v>
      </c>
      <c r="I16" s="4">
        <v>566</v>
      </c>
      <c r="J16" s="3" t="s">
        <v>59</v>
      </c>
    </row>
    <row r="17" spans="1:10">
      <c r="A17" s="5">
        <v>43554</v>
      </c>
      <c r="B17" s="3" t="s">
        <v>65</v>
      </c>
      <c r="C17" s="8">
        <v>15</v>
      </c>
      <c r="D17" s="3">
        <v>75</v>
      </c>
      <c r="E17" s="6">
        <v>2</v>
      </c>
      <c r="F17" s="6">
        <v>57</v>
      </c>
      <c r="G17" s="3">
        <f t="shared" si="0"/>
        <v>177</v>
      </c>
      <c r="H17" s="4">
        <f t="shared" si="1"/>
        <v>25.423728813559322</v>
      </c>
      <c r="I17" s="4">
        <v>400</v>
      </c>
      <c r="J17" s="3" t="s">
        <v>54</v>
      </c>
    </row>
    <row r="18" spans="1:10">
      <c r="A18" s="5">
        <v>43554</v>
      </c>
      <c r="B18" s="3" t="s">
        <v>60</v>
      </c>
      <c r="C18" s="8">
        <v>16</v>
      </c>
      <c r="D18" s="3">
        <v>25</v>
      </c>
      <c r="E18" s="6">
        <v>1</v>
      </c>
      <c r="F18" s="6">
        <v>30</v>
      </c>
      <c r="G18" s="3">
        <f t="shared" si="0"/>
        <v>90</v>
      </c>
      <c r="H18" s="4">
        <f t="shared" si="1"/>
        <v>16.666666666666668</v>
      </c>
      <c r="I18" s="4">
        <v>18</v>
      </c>
      <c r="J18" s="40" t="s">
        <v>66</v>
      </c>
    </row>
    <row r="19" spans="1:10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>
      <c r="D24">
        <f>SUM(D3:D23)</f>
        <v>1570</v>
      </c>
      <c r="I24" s="2">
        <f>SUM(I3:I23)</f>
        <v>7395</v>
      </c>
    </row>
    <row r="25" spans="1:10">
      <c r="B25">
        <f>SUM(Fév!B25+Mar!D24)</f>
        <v>3332</v>
      </c>
      <c r="H25" s="2">
        <f>SUM(Fév!H25+Mar!I24)</f>
        <v>16323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G34" sqref="G34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>
      <c r="A1" s="57" t="s">
        <v>10</v>
      </c>
      <c r="B1" s="57"/>
      <c r="C1" s="57"/>
      <c r="D1" s="57"/>
      <c r="E1" s="57"/>
      <c r="F1" s="57"/>
      <c r="G1" s="57"/>
      <c r="H1" s="28">
        <f>SUM(Janv!H1)</f>
        <v>2019</v>
      </c>
      <c r="I1" s="28"/>
      <c r="J1" s="28"/>
    </row>
    <row r="2" spans="1:10" ht="19.5" thickBot="1">
      <c r="A2" s="11" t="s">
        <v>0</v>
      </c>
      <c r="B2" s="12" t="s">
        <v>1</v>
      </c>
      <c r="C2" s="12" t="s">
        <v>6</v>
      </c>
      <c r="D2" s="12" t="s">
        <v>2</v>
      </c>
      <c r="E2" s="56" t="s">
        <v>3</v>
      </c>
      <c r="F2" s="56"/>
      <c r="G2" s="56"/>
      <c r="H2" s="13" t="s">
        <v>4</v>
      </c>
      <c r="I2" s="33" t="s">
        <v>19</v>
      </c>
      <c r="J2" s="14" t="s">
        <v>5</v>
      </c>
    </row>
    <row r="3" spans="1:10">
      <c r="A3" s="7">
        <v>43557</v>
      </c>
      <c r="B3" s="8" t="s">
        <v>68</v>
      </c>
      <c r="C3" s="8">
        <v>1</v>
      </c>
      <c r="D3" s="8">
        <v>157</v>
      </c>
      <c r="E3" s="9">
        <v>6</v>
      </c>
      <c r="F3" s="9">
        <v>27</v>
      </c>
      <c r="G3" s="8">
        <f>SUM(E3*60+F3)</f>
        <v>387</v>
      </c>
      <c r="H3" s="10">
        <f>SUM(D3/G3*60)</f>
        <v>24.34108527131783</v>
      </c>
      <c r="I3" s="10">
        <v>629</v>
      </c>
      <c r="J3" s="8" t="s">
        <v>69</v>
      </c>
    </row>
    <row r="4" spans="1:10">
      <c r="A4" s="5">
        <v>43559</v>
      </c>
      <c r="B4" s="3" t="s">
        <v>70</v>
      </c>
      <c r="C4" s="8">
        <v>2</v>
      </c>
      <c r="D4" s="3">
        <v>12</v>
      </c>
      <c r="E4" s="6">
        <v>0</v>
      </c>
      <c r="F4" s="6">
        <v>32</v>
      </c>
      <c r="G4" s="3">
        <f t="shared" ref="G4:G23" si="0">SUM(E4*60+F4)</f>
        <v>32</v>
      </c>
      <c r="H4" s="4">
        <f t="shared" ref="H4:H23" si="1">SUM(D4/G4*60)</f>
        <v>22.5</v>
      </c>
      <c r="I4" s="10">
        <v>15</v>
      </c>
      <c r="J4" s="3"/>
    </row>
    <row r="5" spans="1:10">
      <c r="A5" s="5">
        <v>43561</v>
      </c>
      <c r="B5" s="3" t="s">
        <v>71</v>
      </c>
      <c r="C5" s="8">
        <v>3</v>
      </c>
      <c r="D5" s="3">
        <v>304</v>
      </c>
      <c r="E5" s="6">
        <v>14</v>
      </c>
      <c r="F5" s="6">
        <v>5</v>
      </c>
      <c r="G5" s="3">
        <f t="shared" si="0"/>
        <v>845</v>
      </c>
      <c r="H5" s="4">
        <f t="shared" si="1"/>
        <v>21.585798816568047</v>
      </c>
      <c r="I5" s="19">
        <v>2470</v>
      </c>
      <c r="J5" s="3" t="s">
        <v>72</v>
      </c>
    </row>
    <row r="6" spans="1:10">
      <c r="A6" s="5">
        <v>43566</v>
      </c>
      <c r="B6" s="3" t="s">
        <v>76</v>
      </c>
      <c r="C6" s="8">
        <v>4</v>
      </c>
      <c r="D6" s="3">
        <v>81</v>
      </c>
      <c r="E6" s="6">
        <v>3</v>
      </c>
      <c r="F6" s="6">
        <v>6</v>
      </c>
      <c r="G6" s="3">
        <f t="shared" si="0"/>
        <v>186</v>
      </c>
      <c r="H6" s="4">
        <f t="shared" si="1"/>
        <v>26.129032258064516</v>
      </c>
      <c r="I6" s="19">
        <v>310</v>
      </c>
      <c r="J6" s="3"/>
    </row>
    <row r="7" spans="1:10">
      <c r="A7" s="5">
        <v>43568</v>
      </c>
      <c r="B7" s="3" t="s">
        <v>74</v>
      </c>
      <c r="C7" s="8">
        <v>5</v>
      </c>
      <c r="D7" s="3">
        <v>209</v>
      </c>
      <c r="E7" s="6">
        <v>8</v>
      </c>
      <c r="F7" s="6">
        <v>40</v>
      </c>
      <c r="G7" s="3">
        <f t="shared" si="0"/>
        <v>520</v>
      </c>
      <c r="H7" s="4">
        <f t="shared" si="1"/>
        <v>24.115384615384617</v>
      </c>
      <c r="I7" s="19">
        <v>1280</v>
      </c>
      <c r="J7" s="3"/>
    </row>
    <row r="8" spans="1:10">
      <c r="A8" s="16">
        <v>43574</v>
      </c>
      <c r="B8" s="15" t="s">
        <v>75</v>
      </c>
      <c r="C8" s="17">
        <v>6</v>
      </c>
      <c r="D8" s="15">
        <v>104</v>
      </c>
      <c r="E8" s="18">
        <v>3</v>
      </c>
      <c r="F8" s="18">
        <v>59</v>
      </c>
      <c r="G8" s="15">
        <f t="shared" si="0"/>
        <v>239</v>
      </c>
      <c r="H8" s="19">
        <f t="shared" si="1"/>
        <v>26.108786610878663</v>
      </c>
      <c r="I8" s="19">
        <v>382</v>
      </c>
      <c r="J8" s="15"/>
    </row>
    <row r="9" spans="1:10">
      <c r="A9" s="16">
        <v>43575</v>
      </c>
      <c r="B9" s="15" t="s">
        <v>77</v>
      </c>
      <c r="C9" s="17">
        <v>7</v>
      </c>
      <c r="D9" s="15">
        <v>81</v>
      </c>
      <c r="E9" s="18">
        <v>3</v>
      </c>
      <c r="F9" s="18">
        <v>0</v>
      </c>
      <c r="G9" s="15">
        <f t="shared" si="0"/>
        <v>180</v>
      </c>
      <c r="H9" s="19">
        <f t="shared" si="1"/>
        <v>27</v>
      </c>
      <c r="I9" s="19">
        <v>274</v>
      </c>
      <c r="J9" s="15"/>
    </row>
    <row r="10" spans="1:10">
      <c r="A10" s="16">
        <v>43582</v>
      </c>
      <c r="B10" s="15" t="s">
        <v>78</v>
      </c>
      <c r="C10" s="17">
        <v>8</v>
      </c>
      <c r="D10" s="15">
        <v>81</v>
      </c>
      <c r="E10" s="18">
        <v>3</v>
      </c>
      <c r="F10" s="18">
        <v>26</v>
      </c>
      <c r="G10" s="15">
        <f t="shared" si="0"/>
        <v>206</v>
      </c>
      <c r="H10" s="19">
        <f t="shared" si="1"/>
        <v>23.592233009708739</v>
      </c>
      <c r="I10" s="10">
        <v>426</v>
      </c>
      <c r="J10" s="15" t="s">
        <v>69</v>
      </c>
    </row>
    <row r="11" spans="1:10">
      <c r="A11" s="16">
        <v>43584</v>
      </c>
      <c r="B11" s="15" t="s">
        <v>79</v>
      </c>
      <c r="C11" s="17">
        <v>9</v>
      </c>
      <c r="D11" s="15">
        <v>156</v>
      </c>
      <c r="E11" s="18">
        <v>6</v>
      </c>
      <c r="F11" s="18">
        <v>14</v>
      </c>
      <c r="G11" s="15">
        <f t="shared" si="0"/>
        <v>374</v>
      </c>
      <c r="H11" s="19">
        <f t="shared" si="1"/>
        <v>25.026737967914439</v>
      </c>
      <c r="I11" s="4">
        <v>818</v>
      </c>
      <c r="J11" s="15" t="s">
        <v>80</v>
      </c>
    </row>
    <row r="12" spans="1:10">
      <c r="A12" s="16">
        <v>43585</v>
      </c>
      <c r="B12" s="15" t="s">
        <v>81</v>
      </c>
      <c r="C12" s="17">
        <v>10</v>
      </c>
      <c r="D12" s="15">
        <v>90</v>
      </c>
      <c r="E12" s="18">
        <v>3</v>
      </c>
      <c r="F12" s="18">
        <v>33</v>
      </c>
      <c r="G12" s="15">
        <f t="shared" si="0"/>
        <v>213</v>
      </c>
      <c r="H12" s="19">
        <f t="shared" si="1"/>
        <v>25.352112676056336</v>
      </c>
      <c r="I12" s="4">
        <v>303</v>
      </c>
      <c r="J12" s="15"/>
    </row>
    <row r="13" spans="1:10">
      <c r="A13" s="5"/>
      <c r="B13" s="3"/>
      <c r="C13" s="8">
        <v>11</v>
      </c>
      <c r="D13" s="3"/>
      <c r="E13" s="6"/>
      <c r="F13" s="6"/>
      <c r="G13" s="3">
        <f t="shared" si="0"/>
        <v>0</v>
      </c>
      <c r="H13" s="4" t="e">
        <f t="shared" si="1"/>
        <v>#DIV/0!</v>
      </c>
      <c r="I13" s="4"/>
      <c r="J13" s="3"/>
    </row>
    <row r="14" spans="1:10">
      <c r="A14" s="5"/>
      <c r="B14" s="3"/>
      <c r="C14" s="8">
        <v>12</v>
      </c>
      <c r="D14" s="3"/>
      <c r="E14" s="6"/>
      <c r="F14" s="6"/>
      <c r="G14" s="3">
        <f t="shared" si="0"/>
        <v>0</v>
      </c>
      <c r="H14" s="4" t="e">
        <f t="shared" si="1"/>
        <v>#DIV/0!</v>
      </c>
      <c r="I14" s="4"/>
      <c r="J14" s="3"/>
    </row>
    <row r="15" spans="1:10">
      <c r="A15" s="5"/>
      <c r="B15" s="3"/>
      <c r="C15" s="8">
        <v>13</v>
      </c>
      <c r="D15" s="3"/>
      <c r="E15" s="6"/>
      <c r="F15" s="6"/>
      <c r="G15" s="3">
        <f t="shared" si="0"/>
        <v>0</v>
      </c>
      <c r="H15" s="4" t="e">
        <f t="shared" si="1"/>
        <v>#DIV/0!</v>
      </c>
      <c r="I15" s="4"/>
      <c r="J15" s="3"/>
    </row>
    <row r="16" spans="1:10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4"/>
      <c r="J16" s="3"/>
    </row>
    <row r="17" spans="1:10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3"/>
    </row>
    <row r="18" spans="1:10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</row>
    <row r="19" spans="1:10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>
      <c r="D24">
        <f>SUM(D3:D23)</f>
        <v>1275</v>
      </c>
      <c r="I24" s="2">
        <f>SUM(I3:I23)</f>
        <v>6907</v>
      </c>
    </row>
    <row r="25" spans="1:10">
      <c r="B25">
        <f>SUM(Mar!B25+Avr!D24)</f>
        <v>4607</v>
      </c>
      <c r="H25" s="2">
        <f>SUM(Mar!H25+Avr!I24)</f>
        <v>23230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howOutlineSymbols="0"/>
  </sheetPr>
  <dimension ref="A1:L25"/>
  <sheetViews>
    <sheetView showOutlineSymbols="0" workbookViewId="0">
      <selection activeCell="J13" sqref="J13"/>
    </sheetView>
  </sheetViews>
  <sheetFormatPr baseColWidth="10" defaultRowHeight="15" outlineLevelRow="1" outlineLevelCol="2"/>
  <cols>
    <col min="2" max="2" width="34.28515625" customWidth="1"/>
    <col min="3" max="3" width="4" customWidth="1"/>
    <col min="4" max="4" width="12" customWidth="1" outlineLevel="1"/>
    <col min="5" max="5" width="5.7109375" style="1" customWidth="1" outlineLevel="2"/>
    <col min="6" max="6" width="5.85546875" customWidth="1" outlineLevel="2"/>
    <col min="7" max="7" width="5.7109375" customWidth="1" outlineLevel="1"/>
    <col min="8" max="9" width="11.42578125" style="2"/>
    <col min="10" max="10" width="18.5703125" customWidth="1"/>
  </cols>
  <sheetData>
    <row r="1" spans="1:12" ht="27" thickBot="1">
      <c r="A1" s="57" t="s">
        <v>11</v>
      </c>
      <c r="B1" s="57"/>
      <c r="C1" s="57"/>
      <c r="D1" s="57"/>
      <c r="E1" s="57"/>
      <c r="F1" s="57"/>
      <c r="G1" s="57"/>
      <c r="H1" s="28">
        <f>SUM(Janv!H1)</f>
        <v>2019</v>
      </c>
      <c r="I1" s="28"/>
      <c r="J1" s="28"/>
    </row>
    <row r="2" spans="1:12" ht="19.5" thickBot="1">
      <c r="A2" s="11" t="s">
        <v>0</v>
      </c>
      <c r="B2" s="12" t="s">
        <v>1</v>
      </c>
      <c r="C2" s="12" t="s">
        <v>6</v>
      </c>
      <c r="D2" s="12" t="s">
        <v>2</v>
      </c>
      <c r="E2" s="56" t="s">
        <v>3</v>
      </c>
      <c r="F2" s="56"/>
      <c r="G2" s="56"/>
      <c r="H2" s="13" t="s">
        <v>4</v>
      </c>
      <c r="I2" s="33" t="s">
        <v>19</v>
      </c>
      <c r="J2" s="14" t="s">
        <v>5</v>
      </c>
    </row>
    <row r="3" spans="1:12" outlineLevel="1">
      <c r="A3" s="7">
        <v>43589</v>
      </c>
      <c r="B3" s="8" t="s">
        <v>82</v>
      </c>
      <c r="C3" s="8">
        <v>1</v>
      </c>
      <c r="D3" s="8">
        <v>409</v>
      </c>
      <c r="E3" s="9">
        <v>18</v>
      </c>
      <c r="F3" s="9">
        <v>45</v>
      </c>
      <c r="G3" s="8">
        <f>SUM(E3*60+F3)</f>
        <v>1125</v>
      </c>
      <c r="H3" s="10">
        <f>SUM(D3/G3*60)</f>
        <v>21.813333333333336</v>
      </c>
      <c r="I3" s="10">
        <v>3763</v>
      </c>
      <c r="J3" s="8" t="s">
        <v>83</v>
      </c>
    </row>
    <row r="4" spans="1:12" outlineLevel="1">
      <c r="A4" s="5">
        <v>43592</v>
      </c>
      <c r="B4" s="3" t="s">
        <v>84</v>
      </c>
      <c r="C4" s="8">
        <v>2</v>
      </c>
      <c r="D4" s="3">
        <v>91</v>
      </c>
      <c r="E4" s="6">
        <v>3</v>
      </c>
      <c r="F4" s="6">
        <v>50</v>
      </c>
      <c r="G4" s="3">
        <f t="shared" ref="G4:G23" si="0">SUM(E4*60+F4)</f>
        <v>230</v>
      </c>
      <c r="H4" s="4">
        <f t="shared" ref="H4:H23" si="1">SUM(D4/G4*60)</f>
        <v>23.739130434782609</v>
      </c>
      <c r="I4" s="10">
        <v>595</v>
      </c>
      <c r="J4" s="3"/>
    </row>
    <row r="5" spans="1:12" outlineLevel="1">
      <c r="A5" s="16">
        <v>43597</v>
      </c>
      <c r="B5" t="s">
        <v>85</v>
      </c>
      <c r="C5" s="17">
        <v>3</v>
      </c>
      <c r="D5" s="15">
        <v>84</v>
      </c>
      <c r="E5" s="18">
        <v>3</v>
      </c>
      <c r="F5" s="18">
        <v>34</v>
      </c>
      <c r="G5" s="15">
        <f t="shared" si="0"/>
        <v>214</v>
      </c>
      <c r="H5" s="19">
        <f t="shared" si="1"/>
        <v>23.551401869158877</v>
      </c>
      <c r="I5" s="19">
        <v>424</v>
      </c>
      <c r="J5" s="15" t="s">
        <v>69</v>
      </c>
    </row>
    <row r="6" spans="1:12" outlineLevel="1">
      <c r="A6" s="16">
        <v>43599</v>
      </c>
      <c r="B6" s="15" t="s">
        <v>86</v>
      </c>
      <c r="C6" s="17">
        <v>4</v>
      </c>
      <c r="D6" s="15">
        <v>153</v>
      </c>
      <c r="E6" s="18">
        <v>6</v>
      </c>
      <c r="F6" s="18">
        <v>31</v>
      </c>
      <c r="G6" s="15">
        <f t="shared" si="0"/>
        <v>391</v>
      </c>
      <c r="H6" s="19">
        <f t="shared" si="1"/>
        <v>23.478260869565219</v>
      </c>
      <c r="I6" s="19">
        <v>722</v>
      </c>
      <c r="J6" s="15" t="s">
        <v>88</v>
      </c>
    </row>
    <row r="7" spans="1:12" outlineLevel="1">
      <c r="A7" s="16">
        <v>43600</v>
      </c>
      <c r="B7" s="15" t="s">
        <v>87</v>
      </c>
      <c r="C7" s="17">
        <v>5</v>
      </c>
      <c r="D7" s="15">
        <v>101</v>
      </c>
      <c r="E7" s="18">
        <v>4</v>
      </c>
      <c r="F7" s="18">
        <v>7</v>
      </c>
      <c r="G7" s="15">
        <f t="shared" si="0"/>
        <v>247</v>
      </c>
      <c r="H7" s="19">
        <f t="shared" si="1"/>
        <v>24.534412955465584</v>
      </c>
      <c r="I7" s="19">
        <v>526</v>
      </c>
      <c r="J7" s="15" t="s">
        <v>69</v>
      </c>
    </row>
    <row r="8" spans="1:12" outlineLevel="1">
      <c r="A8" s="16">
        <v>43601</v>
      </c>
      <c r="B8" s="15" t="s">
        <v>89</v>
      </c>
      <c r="C8" s="17">
        <v>6</v>
      </c>
      <c r="D8" s="15">
        <v>171</v>
      </c>
      <c r="E8" s="18">
        <v>7</v>
      </c>
      <c r="F8" s="18">
        <v>37</v>
      </c>
      <c r="G8" s="15">
        <f t="shared" si="0"/>
        <v>457</v>
      </c>
      <c r="H8" s="19">
        <f t="shared" si="1"/>
        <v>22.450765864332606</v>
      </c>
      <c r="I8" s="19">
        <v>875</v>
      </c>
      <c r="J8" s="15" t="s">
        <v>69</v>
      </c>
    </row>
    <row r="9" spans="1:12" outlineLevel="1">
      <c r="A9" s="16">
        <v>43603</v>
      </c>
      <c r="B9" s="15" t="s">
        <v>90</v>
      </c>
      <c r="C9" s="17">
        <v>7</v>
      </c>
      <c r="D9" s="15">
        <v>80</v>
      </c>
      <c r="E9" s="18">
        <v>3</v>
      </c>
      <c r="F9" s="18">
        <v>17</v>
      </c>
      <c r="G9" s="15">
        <f t="shared" si="0"/>
        <v>197</v>
      </c>
      <c r="H9" s="19">
        <f t="shared" si="1"/>
        <v>24.365482233502537</v>
      </c>
      <c r="I9" s="19">
        <v>365</v>
      </c>
      <c r="J9" s="15"/>
      <c r="L9" s="23"/>
    </row>
    <row r="10" spans="1:12" outlineLevel="1">
      <c r="A10" s="16">
        <v>43606</v>
      </c>
      <c r="B10" s="15" t="s">
        <v>91</v>
      </c>
      <c r="C10" s="17">
        <v>8</v>
      </c>
      <c r="D10" s="15">
        <v>159</v>
      </c>
      <c r="E10" s="18">
        <v>6</v>
      </c>
      <c r="F10" s="18">
        <v>41</v>
      </c>
      <c r="G10" s="15">
        <f t="shared" si="0"/>
        <v>401</v>
      </c>
      <c r="H10" s="19">
        <f t="shared" si="1"/>
        <v>23.790523690773068</v>
      </c>
      <c r="I10" s="10">
        <v>921</v>
      </c>
      <c r="J10" s="15"/>
    </row>
    <row r="11" spans="1:12" outlineLevel="1">
      <c r="A11" s="16">
        <v>43608</v>
      </c>
      <c r="B11" s="15" t="s">
        <v>92</v>
      </c>
      <c r="C11" s="17">
        <v>9</v>
      </c>
      <c r="D11" s="15">
        <v>30</v>
      </c>
      <c r="E11" s="18">
        <v>1</v>
      </c>
      <c r="F11" s="18">
        <v>39</v>
      </c>
      <c r="G11" s="15">
        <f t="shared" si="0"/>
        <v>99</v>
      </c>
      <c r="H11" s="19">
        <f t="shared" si="1"/>
        <v>18.181818181818183</v>
      </c>
      <c r="I11" s="4">
        <v>93</v>
      </c>
      <c r="J11" s="15" t="s">
        <v>93</v>
      </c>
    </row>
    <row r="12" spans="1:12" outlineLevel="1">
      <c r="A12" s="16">
        <v>43610</v>
      </c>
      <c r="B12" s="8" t="s">
        <v>94</v>
      </c>
      <c r="C12" s="17">
        <v>10</v>
      </c>
      <c r="D12" s="15">
        <v>602</v>
      </c>
      <c r="E12" s="18">
        <v>27</v>
      </c>
      <c r="F12" s="18">
        <v>7</v>
      </c>
      <c r="G12" s="15">
        <f t="shared" si="0"/>
        <v>1627</v>
      </c>
      <c r="H12" s="19">
        <f t="shared" si="1"/>
        <v>22.200368776889981</v>
      </c>
      <c r="I12" s="4">
        <v>3103</v>
      </c>
      <c r="J12" s="15"/>
    </row>
    <row r="13" spans="1:12" outlineLevel="1">
      <c r="A13" s="5">
        <v>43614</v>
      </c>
      <c r="B13" s="3" t="s">
        <v>95</v>
      </c>
      <c r="C13" s="8">
        <v>11</v>
      </c>
      <c r="D13" s="3">
        <v>120</v>
      </c>
      <c r="E13" s="6">
        <v>4</v>
      </c>
      <c r="F13" s="6">
        <v>28</v>
      </c>
      <c r="G13" s="3">
        <f t="shared" si="0"/>
        <v>268</v>
      </c>
      <c r="H13" s="4">
        <f t="shared" si="1"/>
        <v>26.865671641791046</v>
      </c>
      <c r="I13" s="4">
        <v>393</v>
      </c>
      <c r="J13" s="15" t="s">
        <v>69</v>
      </c>
    </row>
    <row r="14" spans="1:12" outlineLevel="1">
      <c r="A14" s="5"/>
      <c r="B14" s="3"/>
      <c r="C14" s="8">
        <v>12</v>
      </c>
      <c r="D14" s="3"/>
      <c r="E14" s="6"/>
      <c r="F14" s="6"/>
      <c r="G14" s="3">
        <f t="shared" si="0"/>
        <v>0</v>
      </c>
      <c r="H14" s="4" t="e">
        <f t="shared" si="1"/>
        <v>#DIV/0!</v>
      </c>
      <c r="I14" s="4"/>
      <c r="J14" s="15"/>
    </row>
    <row r="15" spans="1:12" outlineLevel="1">
      <c r="A15" s="16"/>
      <c r="B15" s="15"/>
      <c r="C15" s="17">
        <v>13</v>
      </c>
      <c r="D15" s="15"/>
      <c r="E15" s="18"/>
      <c r="F15" s="18"/>
      <c r="G15" s="15">
        <f t="shared" si="0"/>
        <v>0</v>
      </c>
      <c r="H15" s="19" t="e">
        <f t="shared" si="1"/>
        <v>#DIV/0!</v>
      </c>
      <c r="I15" s="4"/>
      <c r="J15" s="15"/>
    </row>
    <row r="16" spans="1:12" outlineLevel="1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4"/>
      <c r="J16" s="15"/>
    </row>
    <row r="17" spans="1:10" outlineLevel="1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15"/>
    </row>
    <row r="18" spans="1:10" outlineLevel="1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</row>
    <row r="19" spans="1:10" outlineLevel="1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 outlineLevel="1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 outlineLevel="1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 outlineLevel="1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 outlineLevel="1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>
      <c r="D24">
        <f>SUM(D3:D23)</f>
        <v>2000</v>
      </c>
      <c r="I24" s="2">
        <f>SUM(I3:I23)</f>
        <v>11780</v>
      </c>
    </row>
    <row r="25" spans="1:10">
      <c r="B25">
        <f>SUM(Avr!B25+Mai!D24)</f>
        <v>6607</v>
      </c>
      <c r="H25" s="2">
        <f>SUM(Avr!H25+Mai!I24)</f>
        <v>35010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I19" sqref="I19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>
      <c r="A1" s="57" t="s">
        <v>12</v>
      </c>
      <c r="B1" s="57"/>
      <c r="C1" s="57"/>
      <c r="D1" s="57"/>
      <c r="E1" s="57"/>
      <c r="F1" s="57"/>
      <c r="G1" s="57"/>
      <c r="H1" s="28">
        <f>SUM(Janv!H1)</f>
        <v>2019</v>
      </c>
      <c r="I1" s="28"/>
      <c r="J1" s="28"/>
    </row>
    <row r="2" spans="1:10" ht="19.5" thickBot="1">
      <c r="A2" s="11" t="s">
        <v>0</v>
      </c>
      <c r="B2" s="12" t="s">
        <v>1</v>
      </c>
      <c r="C2" s="12" t="s">
        <v>6</v>
      </c>
      <c r="D2" s="12" t="s">
        <v>2</v>
      </c>
      <c r="E2" s="56" t="s">
        <v>3</v>
      </c>
      <c r="F2" s="56"/>
      <c r="G2" s="56"/>
      <c r="H2" s="13" t="s">
        <v>4</v>
      </c>
      <c r="I2" s="33" t="s">
        <v>19</v>
      </c>
      <c r="J2" s="14" t="s">
        <v>5</v>
      </c>
    </row>
    <row r="3" spans="1:10">
      <c r="A3" s="7">
        <v>43617</v>
      </c>
      <c r="B3" s="8" t="s">
        <v>96</v>
      </c>
      <c r="C3" s="8">
        <v>1</v>
      </c>
      <c r="D3" s="8">
        <v>85</v>
      </c>
      <c r="E3" s="9">
        <v>3</v>
      </c>
      <c r="F3" s="9">
        <v>7</v>
      </c>
      <c r="G3" s="8">
        <f>SUM(E3*60+F3)</f>
        <v>187</v>
      </c>
      <c r="H3" s="10">
        <f>SUM(D3/G3*60)</f>
        <v>27.272727272727273</v>
      </c>
      <c r="I3" s="10">
        <v>371</v>
      </c>
      <c r="J3" s="15"/>
    </row>
    <row r="4" spans="1:10">
      <c r="A4" s="5">
        <v>43618</v>
      </c>
      <c r="B4" s="3" t="s">
        <v>97</v>
      </c>
      <c r="C4" s="8">
        <v>2</v>
      </c>
      <c r="D4" s="3">
        <v>40</v>
      </c>
      <c r="E4" s="6">
        <v>2</v>
      </c>
      <c r="F4" s="6">
        <v>8</v>
      </c>
      <c r="G4" s="8">
        <f t="shared" ref="G4:G20" si="0">SUM(E4*60+F4)</f>
        <v>128</v>
      </c>
      <c r="H4" s="4">
        <f t="shared" ref="H4:H23" si="1">SUM(D4/G4*60)</f>
        <v>18.75</v>
      </c>
      <c r="I4" s="10">
        <v>48</v>
      </c>
      <c r="J4" s="15" t="s">
        <v>98</v>
      </c>
    </row>
    <row r="5" spans="1:10">
      <c r="A5" s="5">
        <v>43622</v>
      </c>
      <c r="B5" s="3" t="s">
        <v>100</v>
      </c>
      <c r="C5" s="8">
        <v>3</v>
      </c>
      <c r="D5" s="3">
        <v>106</v>
      </c>
      <c r="E5" s="6">
        <v>4</v>
      </c>
      <c r="F5" s="6">
        <v>14</v>
      </c>
      <c r="G5" s="8">
        <f t="shared" si="0"/>
        <v>254</v>
      </c>
      <c r="H5" s="4">
        <f t="shared" si="1"/>
        <v>25.039370078740156</v>
      </c>
      <c r="I5" s="19">
        <v>439</v>
      </c>
      <c r="J5" s="15"/>
    </row>
    <row r="6" spans="1:10">
      <c r="A6" s="16">
        <v>43622</v>
      </c>
      <c r="B6" s="15" t="s">
        <v>99</v>
      </c>
      <c r="C6" s="17">
        <v>4</v>
      </c>
      <c r="D6" s="15">
        <v>30</v>
      </c>
      <c r="E6" s="18">
        <v>1</v>
      </c>
      <c r="F6" s="18">
        <v>5</v>
      </c>
      <c r="G6" s="8">
        <f t="shared" si="0"/>
        <v>65</v>
      </c>
      <c r="H6" s="19">
        <f t="shared" si="1"/>
        <v>27.692307692307693</v>
      </c>
      <c r="I6" s="19">
        <v>32</v>
      </c>
      <c r="J6" s="15"/>
    </row>
    <row r="7" spans="1:10">
      <c r="A7" s="16">
        <v>43629</v>
      </c>
      <c r="B7" s="15" t="s">
        <v>101</v>
      </c>
      <c r="C7" s="17">
        <v>5</v>
      </c>
      <c r="D7" s="15">
        <v>124</v>
      </c>
      <c r="E7" s="18">
        <v>4</v>
      </c>
      <c r="F7" s="18">
        <v>51</v>
      </c>
      <c r="G7" s="8">
        <f t="shared" si="0"/>
        <v>291</v>
      </c>
      <c r="H7" s="19">
        <f t="shared" si="1"/>
        <v>25.567010309278349</v>
      </c>
      <c r="I7" s="19">
        <v>597</v>
      </c>
      <c r="J7" s="15"/>
    </row>
    <row r="8" spans="1:10">
      <c r="A8" s="16">
        <v>43631</v>
      </c>
      <c r="B8" s="15" t="s">
        <v>102</v>
      </c>
      <c r="C8" s="17">
        <v>6</v>
      </c>
      <c r="D8" s="15">
        <v>88</v>
      </c>
      <c r="E8" s="18">
        <v>3</v>
      </c>
      <c r="F8" s="18">
        <v>26</v>
      </c>
      <c r="G8" s="8">
        <f t="shared" si="0"/>
        <v>206</v>
      </c>
      <c r="H8" s="19">
        <f t="shared" si="1"/>
        <v>25.631067961165048</v>
      </c>
      <c r="I8" s="19">
        <v>477</v>
      </c>
      <c r="J8" s="15"/>
    </row>
    <row r="9" spans="1:10">
      <c r="A9" s="16">
        <v>43632</v>
      </c>
      <c r="B9" s="15" t="s">
        <v>103</v>
      </c>
      <c r="C9" s="17">
        <v>7</v>
      </c>
      <c r="D9" s="15">
        <v>19</v>
      </c>
      <c r="E9" s="18">
        <v>1</v>
      </c>
      <c r="F9" s="18">
        <v>21</v>
      </c>
      <c r="G9" s="8">
        <f t="shared" si="0"/>
        <v>81</v>
      </c>
      <c r="H9" s="19">
        <f t="shared" si="1"/>
        <v>14.074074074074073</v>
      </c>
      <c r="I9" s="19">
        <v>38</v>
      </c>
      <c r="J9" s="15" t="s">
        <v>104</v>
      </c>
    </row>
    <row r="10" spans="1:10">
      <c r="A10" s="16">
        <v>43634</v>
      </c>
      <c r="B10" s="15" t="s">
        <v>105</v>
      </c>
      <c r="C10" s="17">
        <v>8</v>
      </c>
      <c r="D10" s="15">
        <v>193</v>
      </c>
      <c r="E10" s="18">
        <v>8</v>
      </c>
      <c r="F10" s="18">
        <v>7</v>
      </c>
      <c r="G10" s="8">
        <f t="shared" si="0"/>
        <v>487</v>
      </c>
      <c r="H10" s="19">
        <f t="shared" si="1"/>
        <v>23.7782340862423</v>
      </c>
      <c r="I10" s="10">
        <v>830</v>
      </c>
      <c r="J10" s="15"/>
    </row>
    <row r="11" spans="1:10">
      <c r="A11" s="16">
        <v>43635</v>
      </c>
      <c r="B11" s="15" t="s">
        <v>106</v>
      </c>
      <c r="C11" s="17">
        <v>9</v>
      </c>
      <c r="D11" s="15">
        <v>109</v>
      </c>
      <c r="E11" s="18">
        <v>4</v>
      </c>
      <c r="F11" s="18">
        <v>33</v>
      </c>
      <c r="G11" s="8">
        <f t="shared" si="0"/>
        <v>273</v>
      </c>
      <c r="H11" s="19">
        <f t="shared" si="1"/>
        <v>23.956043956043956</v>
      </c>
      <c r="I11" s="4">
        <v>405</v>
      </c>
      <c r="J11" s="15"/>
    </row>
    <row r="12" spans="1:10">
      <c r="A12" s="16">
        <v>43636</v>
      </c>
      <c r="B12" s="15" t="s">
        <v>107</v>
      </c>
      <c r="C12" s="17">
        <v>10</v>
      </c>
      <c r="D12" s="15">
        <v>102</v>
      </c>
      <c r="E12" s="18">
        <v>4</v>
      </c>
      <c r="F12" s="18">
        <v>5</v>
      </c>
      <c r="G12" s="8">
        <f t="shared" si="0"/>
        <v>245</v>
      </c>
      <c r="H12" s="19">
        <f t="shared" si="1"/>
        <v>24.979591836734695</v>
      </c>
      <c r="I12" s="4">
        <v>191</v>
      </c>
      <c r="J12" s="15"/>
    </row>
    <row r="13" spans="1:10">
      <c r="A13" s="16">
        <v>43638</v>
      </c>
      <c r="B13" s="15" t="s">
        <v>108</v>
      </c>
      <c r="C13" s="17">
        <v>11</v>
      </c>
      <c r="D13" s="15">
        <v>89</v>
      </c>
      <c r="E13" s="18">
        <v>3</v>
      </c>
      <c r="F13" s="18">
        <v>33</v>
      </c>
      <c r="G13" s="8">
        <f t="shared" si="0"/>
        <v>213</v>
      </c>
      <c r="H13" s="19">
        <f t="shared" si="1"/>
        <v>25.070422535211268</v>
      </c>
      <c r="I13" s="4">
        <v>321</v>
      </c>
      <c r="J13" s="15"/>
    </row>
    <row r="14" spans="1:10">
      <c r="A14" s="16">
        <v>43638</v>
      </c>
      <c r="B14" s="15" t="s">
        <v>109</v>
      </c>
      <c r="C14" s="17">
        <v>12</v>
      </c>
      <c r="D14" s="15">
        <v>35.5</v>
      </c>
      <c r="E14" s="18">
        <v>1</v>
      </c>
      <c r="F14" s="18">
        <v>44</v>
      </c>
      <c r="G14" s="8">
        <f t="shared" si="0"/>
        <v>104</v>
      </c>
      <c r="H14" s="19">
        <f t="shared" si="1"/>
        <v>20.48076923076923</v>
      </c>
      <c r="I14" s="4">
        <v>40</v>
      </c>
      <c r="J14" s="15" t="s">
        <v>98</v>
      </c>
    </row>
    <row r="15" spans="1:10">
      <c r="A15" s="16">
        <v>43640</v>
      </c>
      <c r="B15" s="15" t="s">
        <v>110</v>
      </c>
      <c r="C15" s="17">
        <v>13</v>
      </c>
      <c r="D15" s="15">
        <v>105</v>
      </c>
      <c r="E15" s="18">
        <v>4</v>
      </c>
      <c r="F15" s="18">
        <v>34</v>
      </c>
      <c r="G15" s="8">
        <f t="shared" si="0"/>
        <v>274</v>
      </c>
      <c r="H15" s="19">
        <f t="shared" si="1"/>
        <v>22.992700729927005</v>
      </c>
      <c r="I15" s="4">
        <v>521</v>
      </c>
      <c r="J15" s="15"/>
    </row>
    <row r="16" spans="1:10">
      <c r="A16" s="16">
        <v>43641</v>
      </c>
      <c r="B16" s="15" t="s">
        <v>111</v>
      </c>
      <c r="C16" s="17">
        <v>14</v>
      </c>
      <c r="D16" s="15">
        <v>113</v>
      </c>
      <c r="E16" s="18">
        <v>4</v>
      </c>
      <c r="F16" s="18">
        <v>31</v>
      </c>
      <c r="G16" s="8">
        <f t="shared" si="0"/>
        <v>271</v>
      </c>
      <c r="H16" s="19">
        <f t="shared" si="1"/>
        <v>25.018450184501845</v>
      </c>
      <c r="I16" s="4">
        <v>530</v>
      </c>
      <c r="J16" s="15"/>
    </row>
    <row r="17" spans="1:10">
      <c r="A17" s="16">
        <v>43642</v>
      </c>
      <c r="B17" s="15" t="s">
        <v>112</v>
      </c>
      <c r="C17" s="17">
        <v>15</v>
      </c>
      <c r="D17" s="15">
        <v>85</v>
      </c>
      <c r="E17" s="18">
        <v>3</v>
      </c>
      <c r="F17" s="18">
        <v>3332</v>
      </c>
      <c r="G17" s="8">
        <f t="shared" si="0"/>
        <v>3512</v>
      </c>
      <c r="H17" s="19">
        <f t="shared" si="1"/>
        <v>1.4521640091116172</v>
      </c>
      <c r="I17" s="4">
        <v>430</v>
      </c>
      <c r="J17" s="15"/>
    </row>
    <row r="18" spans="1:10">
      <c r="A18" s="5">
        <v>43645</v>
      </c>
      <c r="B18" s="15" t="s">
        <v>113</v>
      </c>
      <c r="C18" s="8">
        <v>16</v>
      </c>
      <c r="D18" s="3">
        <v>80</v>
      </c>
      <c r="E18" s="6">
        <v>2</v>
      </c>
      <c r="F18" s="6">
        <v>59</v>
      </c>
      <c r="G18" s="8">
        <f t="shared" si="0"/>
        <v>179</v>
      </c>
      <c r="H18" s="4">
        <f t="shared" si="1"/>
        <v>26.815642458100555</v>
      </c>
      <c r="I18" s="4">
        <v>310</v>
      </c>
      <c r="J18" s="3"/>
    </row>
    <row r="19" spans="1:10">
      <c r="A19" s="5"/>
      <c r="B19" s="15"/>
      <c r="C19" s="8">
        <v>17</v>
      </c>
      <c r="D19" s="3"/>
      <c r="E19" s="6"/>
      <c r="F19" s="6"/>
      <c r="G19" s="8">
        <f t="shared" si="0"/>
        <v>0</v>
      </c>
      <c r="H19" s="4" t="e">
        <f t="shared" si="1"/>
        <v>#DIV/0!</v>
      </c>
      <c r="I19" s="4"/>
      <c r="J19" s="3"/>
    </row>
    <row r="20" spans="1:10">
      <c r="A20" s="5"/>
      <c r="B20" s="15"/>
      <c r="C20" s="8">
        <v>18</v>
      </c>
      <c r="D20" s="3"/>
      <c r="E20" s="6"/>
      <c r="F20" s="6"/>
      <c r="G20" s="8">
        <f t="shared" si="0"/>
        <v>0</v>
      </c>
      <c r="H20" s="4" t="e">
        <f t="shared" si="1"/>
        <v>#DIV/0!</v>
      </c>
      <c r="I20" s="4"/>
      <c r="J20" s="3"/>
    </row>
    <row r="21" spans="1:10">
      <c r="A21" s="5"/>
      <c r="B21" s="3"/>
      <c r="C21" s="8">
        <v>19</v>
      </c>
      <c r="D21" s="3"/>
      <c r="E21" s="6"/>
      <c r="F21" s="6"/>
      <c r="G21" s="3">
        <f t="shared" ref="G21:G23" si="2">SUM(E21*60+F21)</f>
        <v>0</v>
      </c>
      <c r="H21" s="4" t="e">
        <f t="shared" si="1"/>
        <v>#DIV/0!</v>
      </c>
      <c r="I21" s="4"/>
      <c r="J21" s="3"/>
    </row>
    <row r="22" spans="1:10">
      <c r="A22" s="5"/>
      <c r="B22" s="3"/>
      <c r="C22" s="8">
        <v>20</v>
      </c>
      <c r="D22" s="3"/>
      <c r="E22" s="6"/>
      <c r="F22" s="6"/>
      <c r="G22" s="3">
        <f t="shared" si="2"/>
        <v>0</v>
      </c>
      <c r="H22" s="4" t="e">
        <f t="shared" si="1"/>
        <v>#DIV/0!</v>
      </c>
      <c r="I22" s="4"/>
      <c r="J22" s="3"/>
    </row>
    <row r="23" spans="1:10">
      <c r="A23" s="5"/>
      <c r="B23" s="3"/>
      <c r="C23" s="3"/>
      <c r="D23" s="3"/>
      <c r="E23" s="6"/>
      <c r="F23" s="6"/>
      <c r="G23" s="3">
        <f t="shared" si="2"/>
        <v>0</v>
      </c>
      <c r="H23" s="4" t="e">
        <f t="shared" si="1"/>
        <v>#DIV/0!</v>
      </c>
      <c r="I23" s="4"/>
      <c r="J23" s="3"/>
    </row>
    <row r="24" spans="1:10">
      <c r="D24">
        <f>SUM(D3:D23)</f>
        <v>1403.5</v>
      </c>
      <c r="I24" s="2">
        <f>SUM(I3:I23)</f>
        <v>5580</v>
      </c>
    </row>
    <row r="25" spans="1:10">
      <c r="B25">
        <f>SUM(Mai!B25+Juin!D24)</f>
        <v>8010.5</v>
      </c>
      <c r="H25" s="2">
        <f>SUM(Mai!H25+Juin!I24)</f>
        <v>40590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selection activeCell="G31" sqref="G31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>
      <c r="A1" s="57" t="s">
        <v>13</v>
      </c>
      <c r="B1" s="57"/>
      <c r="C1" s="57"/>
      <c r="D1" s="57"/>
      <c r="E1" s="57"/>
      <c r="F1" s="57"/>
      <c r="G1" s="57"/>
      <c r="H1" s="28">
        <f>SUM(Janv!H1)</f>
        <v>2019</v>
      </c>
      <c r="I1" s="28"/>
      <c r="J1" s="28"/>
    </row>
    <row r="2" spans="1:10" ht="19.5" thickBot="1">
      <c r="A2" s="11" t="s">
        <v>0</v>
      </c>
      <c r="B2" s="12" t="s">
        <v>1</v>
      </c>
      <c r="C2" s="12" t="s">
        <v>6</v>
      </c>
      <c r="D2" s="12" t="s">
        <v>2</v>
      </c>
      <c r="E2" s="56" t="s">
        <v>3</v>
      </c>
      <c r="F2" s="56"/>
      <c r="G2" s="56"/>
      <c r="H2" s="13" t="s">
        <v>4</v>
      </c>
      <c r="I2" s="33" t="s">
        <v>19</v>
      </c>
      <c r="J2" s="14" t="s">
        <v>5</v>
      </c>
    </row>
    <row r="3" spans="1:10">
      <c r="A3" s="20">
        <v>43648</v>
      </c>
      <c r="B3" s="17" t="s">
        <v>114</v>
      </c>
      <c r="C3" s="17">
        <v>1</v>
      </c>
      <c r="D3" s="17">
        <v>149</v>
      </c>
      <c r="E3" s="21">
        <v>6</v>
      </c>
      <c r="F3" s="21">
        <v>14</v>
      </c>
      <c r="G3" s="17">
        <f>SUM(E3*60+F3)</f>
        <v>374</v>
      </c>
      <c r="H3" s="22">
        <f>SUM(D3/G3*60)</f>
        <v>23.90374331550802</v>
      </c>
      <c r="I3" s="10">
        <v>699</v>
      </c>
      <c r="J3" s="17"/>
    </row>
    <row r="4" spans="1:10">
      <c r="A4" s="16">
        <v>43650</v>
      </c>
      <c r="B4" s="15" t="s">
        <v>115</v>
      </c>
      <c r="C4" s="17">
        <v>2</v>
      </c>
      <c r="D4" s="15">
        <v>120</v>
      </c>
      <c r="E4" s="18">
        <v>4</v>
      </c>
      <c r="F4" s="18">
        <v>56</v>
      </c>
      <c r="G4" s="15">
        <f t="shared" ref="G4:G25" si="0">SUM(E4*60+F4)</f>
        <v>296</v>
      </c>
      <c r="H4" s="19">
        <f t="shared" ref="H4:H25" si="1">SUM(D4/G4*60)</f>
        <v>24.324324324324326</v>
      </c>
      <c r="I4" s="10">
        <v>423</v>
      </c>
      <c r="J4" s="15"/>
    </row>
    <row r="5" spans="1:10">
      <c r="A5" s="16">
        <v>43651</v>
      </c>
      <c r="B5" s="15" t="s">
        <v>116</v>
      </c>
      <c r="C5" s="17">
        <v>3</v>
      </c>
      <c r="D5" s="15">
        <v>107</v>
      </c>
      <c r="E5" s="18">
        <v>4</v>
      </c>
      <c r="F5" s="18">
        <v>21</v>
      </c>
      <c r="G5" s="15">
        <f t="shared" si="0"/>
        <v>261</v>
      </c>
      <c r="H5" s="19">
        <f t="shared" si="1"/>
        <v>24.597701149425287</v>
      </c>
      <c r="I5" s="19">
        <v>496</v>
      </c>
      <c r="J5" s="15"/>
    </row>
    <row r="6" spans="1:10">
      <c r="A6" s="16">
        <v>43652</v>
      </c>
      <c r="B6" s="15" t="s">
        <v>117</v>
      </c>
      <c r="C6" s="17">
        <v>4</v>
      </c>
      <c r="D6" s="15">
        <v>85</v>
      </c>
      <c r="E6" s="18">
        <v>3</v>
      </c>
      <c r="F6" s="18">
        <v>18</v>
      </c>
      <c r="G6" s="15">
        <f t="shared" si="0"/>
        <v>198</v>
      </c>
      <c r="H6" s="19">
        <f t="shared" si="1"/>
        <v>25.757575757575758</v>
      </c>
      <c r="I6" s="19">
        <v>311</v>
      </c>
      <c r="J6" s="15"/>
    </row>
    <row r="7" spans="1:10">
      <c r="A7" s="16">
        <v>43653</v>
      </c>
      <c r="B7" s="15" t="s">
        <v>118</v>
      </c>
      <c r="C7" s="17">
        <v>5</v>
      </c>
      <c r="D7" s="15">
        <v>30</v>
      </c>
      <c r="E7" s="18">
        <v>3</v>
      </c>
      <c r="F7" s="18"/>
      <c r="G7" s="15">
        <f t="shared" si="0"/>
        <v>180</v>
      </c>
      <c r="H7" s="19">
        <f t="shared" si="1"/>
        <v>10</v>
      </c>
      <c r="I7" s="19">
        <v>0</v>
      </c>
      <c r="J7" s="15"/>
    </row>
    <row r="8" spans="1:10">
      <c r="A8" s="16">
        <v>43655</v>
      </c>
      <c r="B8" s="15" t="s">
        <v>119</v>
      </c>
      <c r="C8" s="17">
        <v>7</v>
      </c>
      <c r="D8" s="15">
        <v>104</v>
      </c>
      <c r="E8" s="18">
        <v>4</v>
      </c>
      <c r="F8" s="18">
        <v>13</v>
      </c>
      <c r="G8" s="15">
        <f t="shared" ref="G8:G24" si="2">SUM(E8*60+F8)</f>
        <v>253</v>
      </c>
      <c r="H8" s="19">
        <f t="shared" ref="H8:H24" si="3">SUM(D8/G8*60)</f>
        <v>24.664031620553359</v>
      </c>
      <c r="I8" s="19">
        <v>365</v>
      </c>
      <c r="J8" s="15"/>
    </row>
    <row r="9" spans="1:10">
      <c r="A9" s="16">
        <v>43656</v>
      </c>
      <c r="B9" s="15" t="s">
        <v>120</v>
      </c>
      <c r="C9" s="17">
        <v>8</v>
      </c>
      <c r="D9" s="15">
        <v>110</v>
      </c>
      <c r="E9" s="18">
        <v>4</v>
      </c>
      <c r="F9" s="18">
        <v>33</v>
      </c>
      <c r="G9" s="15">
        <f t="shared" si="2"/>
        <v>273</v>
      </c>
      <c r="H9" s="19">
        <f t="shared" si="3"/>
        <v>24.175824175824175</v>
      </c>
      <c r="I9" s="19">
        <v>429</v>
      </c>
      <c r="J9" s="15"/>
    </row>
    <row r="10" spans="1:10">
      <c r="A10" s="41">
        <v>43657</v>
      </c>
      <c r="B10" s="42" t="s">
        <v>121</v>
      </c>
      <c r="C10" s="43">
        <v>9</v>
      </c>
      <c r="D10" s="42">
        <v>22</v>
      </c>
      <c r="E10" s="44">
        <v>1</v>
      </c>
      <c r="F10" s="44">
        <v>28</v>
      </c>
      <c r="G10" s="42">
        <f t="shared" si="2"/>
        <v>88</v>
      </c>
      <c r="H10" s="45">
        <f t="shared" si="3"/>
        <v>15</v>
      </c>
      <c r="I10" s="46">
        <v>28</v>
      </c>
      <c r="J10" s="42"/>
    </row>
    <row r="11" spans="1:10">
      <c r="A11" s="41">
        <v>43658</v>
      </c>
      <c r="B11" s="42" t="s">
        <v>122</v>
      </c>
      <c r="C11" s="43">
        <v>10</v>
      </c>
      <c r="D11" s="42">
        <v>48</v>
      </c>
      <c r="E11" s="44">
        <v>2</v>
      </c>
      <c r="F11" s="44">
        <v>48</v>
      </c>
      <c r="G11" s="42">
        <f t="shared" si="2"/>
        <v>168</v>
      </c>
      <c r="H11" s="45">
        <f t="shared" si="3"/>
        <v>17.142857142857142</v>
      </c>
      <c r="I11" s="45">
        <v>107</v>
      </c>
      <c r="J11" s="42"/>
    </row>
    <row r="12" spans="1:10">
      <c r="A12" s="41">
        <v>43659</v>
      </c>
      <c r="B12" s="42" t="s">
        <v>123</v>
      </c>
      <c r="C12" s="43">
        <v>11</v>
      </c>
      <c r="D12" s="42">
        <v>46</v>
      </c>
      <c r="E12" s="44">
        <v>2</v>
      </c>
      <c r="F12" s="44">
        <v>34</v>
      </c>
      <c r="G12" s="42">
        <f t="shared" si="2"/>
        <v>154</v>
      </c>
      <c r="H12" s="45">
        <f t="shared" si="3"/>
        <v>17.922077922077921</v>
      </c>
      <c r="I12" s="45">
        <v>34</v>
      </c>
      <c r="J12" s="42"/>
    </row>
    <row r="13" spans="1:10">
      <c r="A13" s="41">
        <v>43660</v>
      </c>
      <c r="B13" s="42" t="s">
        <v>124</v>
      </c>
      <c r="C13" s="43">
        <v>12</v>
      </c>
      <c r="D13" s="42">
        <v>59</v>
      </c>
      <c r="E13" s="44">
        <v>3</v>
      </c>
      <c r="F13" s="44">
        <v>19</v>
      </c>
      <c r="G13" s="42">
        <f t="shared" si="2"/>
        <v>199</v>
      </c>
      <c r="H13" s="45">
        <f t="shared" si="3"/>
        <v>17.788944723618091</v>
      </c>
      <c r="I13" s="45">
        <v>160</v>
      </c>
      <c r="J13" s="42"/>
    </row>
    <row r="14" spans="1:10">
      <c r="A14" s="41">
        <v>43661</v>
      </c>
      <c r="B14" s="42" t="s">
        <v>125</v>
      </c>
      <c r="C14" s="43">
        <v>13</v>
      </c>
      <c r="D14" s="42">
        <v>67</v>
      </c>
      <c r="E14" s="44">
        <v>3</v>
      </c>
      <c r="F14" s="44">
        <v>36</v>
      </c>
      <c r="G14" s="42">
        <f t="shared" si="2"/>
        <v>216</v>
      </c>
      <c r="H14" s="45">
        <f t="shared" si="3"/>
        <v>18.611111111111111</v>
      </c>
      <c r="I14" s="45">
        <v>264</v>
      </c>
      <c r="J14" s="42"/>
    </row>
    <row r="15" spans="1:10">
      <c r="A15" s="41">
        <v>43662</v>
      </c>
      <c r="B15" s="42" t="s">
        <v>126</v>
      </c>
      <c r="C15" s="43">
        <v>14</v>
      </c>
      <c r="D15" s="42">
        <v>54</v>
      </c>
      <c r="E15" s="44">
        <v>3</v>
      </c>
      <c r="F15" s="44">
        <v>9</v>
      </c>
      <c r="G15" s="42">
        <f t="shared" si="2"/>
        <v>189</v>
      </c>
      <c r="H15" s="45">
        <f t="shared" si="3"/>
        <v>17.142857142857142</v>
      </c>
      <c r="I15" s="45">
        <v>141</v>
      </c>
      <c r="J15" s="42"/>
    </row>
    <row r="16" spans="1:10">
      <c r="A16" s="41">
        <v>43663</v>
      </c>
      <c r="B16" s="42" t="s">
        <v>127</v>
      </c>
      <c r="C16" s="43">
        <v>15</v>
      </c>
      <c r="D16" s="42">
        <v>37</v>
      </c>
      <c r="E16" s="44">
        <v>2</v>
      </c>
      <c r="F16" s="44">
        <v>1</v>
      </c>
      <c r="G16" s="42">
        <f t="shared" si="2"/>
        <v>121</v>
      </c>
      <c r="H16" s="45">
        <f t="shared" si="3"/>
        <v>18.347107438016529</v>
      </c>
      <c r="I16" s="45">
        <v>41</v>
      </c>
      <c r="J16" s="42"/>
    </row>
    <row r="17" spans="1:10">
      <c r="A17" s="41">
        <v>43664</v>
      </c>
      <c r="B17" s="42" t="s">
        <v>128</v>
      </c>
      <c r="C17" s="43">
        <v>16</v>
      </c>
      <c r="D17" s="42">
        <v>55</v>
      </c>
      <c r="E17" s="44">
        <v>3</v>
      </c>
      <c r="F17" s="44">
        <v>8</v>
      </c>
      <c r="G17" s="42">
        <f t="shared" si="2"/>
        <v>188</v>
      </c>
      <c r="H17" s="45">
        <f t="shared" si="3"/>
        <v>17.553191489361701</v>
      </c>
      <c r="I17" s="45">
        <v>17</v>
      </c>
      <c r="J17" s="42"/>
    </row>
    <row r="18" spans="1:10">
      <c r="A18" s="16">
        <v>43666</v>
      </c>
      <c r="B18" s="15" t="s">
        <v>129</v>
      </c>
      <c r="C18" s="17">
        <v>17</v>
      </c>
      <c r="D18" s="15">
        <v>89</v>
      </c>
      <c r="E18" s="18">
        <v>3</v>
      </c>
      <c r="F18" s="18">
        <v>48</v>
      </c>
      <c r="G18" s="15">
        <f t="shared" si="2"/>
        <v>228</v>
      </c>
      <c r="H18" s="19">
        <f t="shared" si="3"/>
        <v>23.421052631578945</v>
      </c>
      <c r="I18" s="4">
        <v>560</v>
      </c>
      <c r="J18" s="15"/>
    </row>
    <row r="19" spans="1:10">
      <c r="A19" s="16">
        <v>43666</v>
      </c>
      <c r="B19" s="15" t="s">
        <v>130</v>
      </c>
      <c r="C19" s="17">
        <v>18</v>
      </c>
      <c r="D19" s="15">
        <v>33</v>
      </c>
      <c r="E19" s="18">
        <v>2</v>
      </c>
      <c r="F19" s="18">
        <v>3</v>
      </c>
      <c r="G19" s="15">
        <f t="shared" si="2"/>
        <v>123</v>
      </c>
      <c r="H19" s="19">
        <f t="shared" si="3"/>
        <v>16.097560975609756</v>
      </c>
      <c r="I19" s="4">
        <v>27</v>
      </c>
      <c r="J19" s="15"/>
    </row>
    <row r="20" spans="1:10">
      <c r="A20" s="16">
        <v>43667</v>
      </c>
      <c r="B20" s="15" t="s">
        <v>131</v>
      </c>
      <c r="C20" s="17">
        <v>19</v>
      </c>
      <c r="D20" s="15">
        <v>145</v>
      </c>
      <c r="E20" s="18">
        <v>6</v>
      </c>
      <c r="F20" s="18">
        <v>19</v>
      </c>
      <c r="G20" s="15">
        <f t="shared" si="2"/>
        <v>379</v>
      </c>
      <c r="H20" s="19">
        <f t="shared" si="3"/>
        <v>22.955145118733508</v>
      </c>
      <c r="I20" s="4">
        <v>769</v>
      </c>
      <c r="J20" s="15"/>
    </row>
    <row r="21" spans="1:10">
      <c r="A21" s="16">
        <v>43668</v>
      </c>
      <c r="B21" s="15" t="s">
        <v>132</v>
      </c>
      <c r="C21" s="17">
        <v>20</v>
      </c>
      <c r="D21" s="15">
        <v>149</v>
      </c>
      <c r="E21" s="18">
        <v>6</v>
      </c>
      <c r="F21" s="18">
        <v>13</v>
      </c>
      <c r="G21" s="15">
        <f t="shared" si="2"/>
        <v>373</v>
      </c>
      <c r="H21" s="19">
        <f t="shared" si="3"/>
        <v>23.967828418230564</v>
      </c>
      <c r="I21" s="4">
        <v>566</v>
      </c>
      <c r="J21" s="15"/>
    </row>
    <row r="22" spans="1:10">
      <c r="A22" s="5">
        <v>43673</v>
      </c>
      <c r="B22" s="3" t="s">
        <v>133</v>
      </c>
      <c r="C22" s="8">
        <v>21</v>
      </c>
      <c r="D22" s="15">
        <v>81</v>
      </c>
      <c r="E22" s="6">
        <v>3</v>
      </c>
      <c r="F22" s="6">
        <v>3</v>
      </c>
      <c r="G22" s="3">
        <f t="shared" si="2"/>
        <v>183</v>
      </c>
      <c r="H22" s="4">
        <f t="shared" si="3"/>
        <v>26.557377049180328</v>
      </c>
      <c r="I22" s="4">
        <v>289</v>
      </c>
      <c r="J22" s="15"/>
    </row>
    <row r="23" spans="1:10">
      <c r="A23" s="5">
        <v>43674</v>
      </c>
      <c r="B23" s="3" t="s">
        <v>134</v>
      </c>
      <c r="C23" s="8">
        <v>22</v>
      </c>
      <c r="D23" s="15">
        <v>131</v>
      </c>
      <c r="E23" s="6">
        <v>5</v>
      </c>
      <c r="F23" s="6">
        <v>10</v>
      </c>
      <c r="G23" s="3">
        <f t="shared" si="2"/>
        <v>310</v>
      </c>
      <c r="H23" s="4">
        <f t="shared" si="3"/>
        <v>25.35483870967742</v>
      </c>
      <c r="I23" s="4">
        <v>474</v>
      </c>
      <c r="J23" s="15"/>
    </row>
    <row r="24" spans="1:10">
      <c r="A24" s="5">
        <v>43675</v>
      </c>
      <c r="B24" s="3" t="s">
        <v>135</v>
      </c>
      <c r="C24" s="8">
        <v>23</v>
      </c>
      <c r="D24" s="15">
        <v>157</v>
      </c>
      <c r="E24" s="6">
        <v>6</v>
      </c>
      <c r="F24" s="6">
        <v>42</v>
      </c>
      <c r="G24" s="3">
        <f t="shared" si="2"/>
        <v>402</v>
      </c>
      <c r="H24" s="4">
        <f t="shared" si="3"/>
        <v>23.432835820895523</v>
      </c>
      <c r="I24" s="4">
        <v>955</v>
      </c>
      <c r="J24" s="15"/>
    </row>
    <row r="25" spans="1:10">
      <c r="A25" s="5">
        <v>43676</v>
      </c>
      <c r="B25" s="3" t="s">
        <v>136</v>
      </c>
      <c r="C25" s="3">
        <v>24</v>
      </c>
      <c r="D25" s="3">
        <v>111</v>
      </c>
      <c r="E25" s="6">
        <v>4</v>
      </c>
      <c r="F25" s="6">
        <v>15</v>
      </c>
      <c r="G25" s="3">
        <f t="shared" si="0"/>
        <v>255</v>
      </c>
      <c r="H25" s="4">
        <f t="shared" si="1"/>
        <v>26.117647058823529</v>
      </c>
      <c r="I25" s="4">
        <v>370</v>
      </c>
      <c r="J25" s="3"/>
    </row>
    <row r="26" spans="1:10">
      <c r="D26">
        <f>SUM(D3:D25)</f>
        <v>1989</v>
      </c>
      <c r="I26" s="2">
        <f>SUM(I3:I25)</f>
        <v>7525</v>
      </c>
    </row>
    <row r="27" spans="1:10">
      <c r="B27">
        <f>SUM(Juin!B25+Juil!D26)</f>
        <v>9999.5</v>
      </c>
      <c r="H27" s="2">
        <f>SUM(Juin!H25+Juil!I26)</f>
        <v>48115</v>
      </c>
    </row>
    <row r="28" spans="1:10">
      <c r="B28" s="3"/>
      <c r="D28" s="24"/>
      <c r="E28" s="29"/>
      <c r="F28" s="24"/>
      <c r="G28" s="24"/>
    </row>
  </sheetData>
  <mergeCells count="2">
    <mergeCell ref="E2:G2"/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selection activeCell="E14" sqref="E14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>
      <c r="A1" s="57" t="s">
        <v>14</v>
      </c>
      <c r="B1" s="57"/>
      <c r="C1" s="57"/>
      <c r="D1" s="57"/>
      <c r="E1" s="57"/>
      <c r="F1" s="57"/>
      <c r="G1" s="57"/>
      <c r="H1" s="28">
        <f>SUM(Janv!H1)</f>
        <v>2019</v>
      </c>
      <c r="I1" s="28"/>
      <c r="J1" s="28"/>
    </row>
    <row r="2" spans="1:10" ht="19.5" thickBot="1">
      <c r="A2" s="11" t="s">
        <v>0</v>
      </c>
      <c r="B2" s="12" t="s">
        <v>1</v>
      </c>
      <c r="C2" s="12" t="s">
        <v>6</v>
      </c>
      <c r="D2" s="12" t="s">
        <v>2</v>
      </c>
      <c r="E2" s="56" t="s">
        <v>3</v>
      </c>
      <c r="F2" s="56"/>
      <c r="G2" s="56"/>
      <c r="H2" s="13" t="s">
        <v>4</v>
      </c>
      <c r="I2" s="33" t="s">
        <v>19</v>
      </c>
      <c r="J2" s="14" t="s">
        <v>5</v>
      </c>
    </row>
    <row r="3" spans="1:10">
      <c r="A3" s="20">
        <v>43678</v>
      </c>
      <c r="B3" s="17" t="s">
        <v>137</v>
      </c>
      <c r="C3" s="17">
        <v>1</v>
      </c>
      <c r="D3" s="17">
        <v>104</v>
      </c>
      <c r="E3" s="21">
        <v>4</v>
      </c>
      <c r="F3" s="21">
        <v>21</v>
      </c>
      <c r="G3" s="3">
        <f t="shared" ref="G3:G22" si="0">SUM(E3*60+F3)</f>
        <v>261</v>
      </c>
      <c r="H3" s="22">
        <f>SUM(D3/G3*60)</f>
        <v>23.908045977011493</v>
      </c>
      <c r="I3" s="10">
        <v>414</v>
      </c>
      <c r="J3" s="17"/>
    </row>
    <row r="4" spans="1:10">
      <c r="A4" s="16">
        <v>43679</v>
      </c>
      <c r="B4" s="15" t="s">
        <v>138</v>
      </c>
      <c r="C4" s="17">
        <v>2</v>
      </c>
      <c r="D4" s="15">
        <v>117</v>
      </c>
      <c r="E4" s="18">
        <v>4</v>
      </c>
      <c r="F4" s="18">
        <v>52</v>
      </c>
      <c r="G4" s="3">
        <f t="shared" si="0"/>
        <v>292</v>
      </c>
      <c r="H4" s="19">
        <f t="shared" ref="H4:H23" si="1">SUM(D4/G4*60)</f>
        <v>24.041095890410958</v>
      </c>
      <c r="I4" s="10">
        <v>504</v>
      </c>
      <c r="J4" s="17"/>
    </row>
    <row r="5" spans="1:10">
      <c r="A5" s="16">
        <v>43680</v>
      </c>
      <c r="B5" s="15" t="s">
        <v>139</v>
      </c>
      <c r="C5" s="17">
        <v>3</v>
      </c>
      <c r="D5" s="15">
        <v>84</v>
      </c>
      <c r="E5" s="18">
        <v>3</v>
      </c>
      <c r="F5" s="18">
        <v>36</v>
      </c>
      <c r="G5" s="3">
        <f t="shared" si="0"/>
        <v>216</v>
      </c>
      <c r="H5" s="19">
        <f t="shared" si="1"/>
        <v>23.333333333333332</v>
      </c>
      <c r="I5" s="19">
        <v>324</v>
      </c>
      <c r="J5" s="17"/>
    </row>
    <row r="6" spans="1:10">
      <c r="A6" s="16">
        <v>43683</v>
      </c>
      <c r="B6" s="15" t="s">
        <v>140</v>
      </c>
      <c r="C6" s="17">
        <v>4</v>
      </c>
      <c r="D6" s="15">
        <v>95</v>
      </c>
      <c r="E6" s="18">
        <v>3</v>
      </c>
      <c r="F6" s="18">
        <v>50</v>
      </c>
      <c r="G6" s="3">
        <f t="shared" si="0"/>
        <v>230</v>
      </c>
      <c r="H6" s="19">
        <f t="shared" si="1"/>
        <v>24.782608695652176</v>
      </c>
      <c r="I6" s="19">
        <v>360</v>
      </c>
      <c r="J6" s="17"/>
    </row>
    <row r="7" spans="1:10">
      <c r="A7" s="16">
        <v>43685</v>
      </c>
      <c r="B7" s="15" t="s">
        <v>141</v>
      </c>
      <c r="C7" s="17">
        <v>5</v>
      </c>
      <c r="D7" s="15">
        <v>94</v>
      </c>
      <c r="E7" s="18">
        <v>3</v>
      </c>
      <c r="F7" s="18">
        <v>50</v>
      </c>
      <c r="G7" s="3">
        <f t="shared" si="0"/>
        <v>230</v>
      </c>
      <c r="H7" s="19">
        <f t="shared" si="1"/>
        <v>24.521739130434785</v>
      </c>
      <c r="I7" s="19">
        <v>297</v>
      </c>
      <c r="J7" s="17"/>
    </row>
    <row r="8" spans="1:10">
      <c r="A8" s="16">
        <v>43686</v>
      </c>
      <c r="B8" s="15" t="s">
        <v>142</v>
      </c>
      <c r="C8" s="17">
        <v>6</v>
      </c>
      <c r="D8" s="15">
        <v>107</v>
      </c>
      <c r="E8" s="18">
        <v>4</v>
      </c>
      <c r="F8" s="18">
        <v>17</v>
      </c>
      <c r="G8" s="3">
        <f t="shared" si="0"/>
        <v>257</v>
      </c>
      <c r="H8" s="19">
        <f t="shared" si="1"/>
        <v>24.980544747081712</v>
      </c>
      <c r="I8" s="19">
        <v>449</v>
      </c>
      <c r="J8" s="17"/>
    </row>
    <row r="9" spans="1:10">
      <c r="A9" s="16">
        <v>43687</v>
      </c>
      <c r="B9" s="15" t="s">
        <v>143</v>
      </c>
      <c r="C9" s="17">
        <v>7</v>
      </c>
      <c r="D9" s="15">
        <v>86</v>
      </c>
      <c r="E9" s="18">
        <v>3</v>
      </c>
      <c r="F9" s="18">
        <v>20</v>
      </c>
      <c r="G9" s="3">
        <f t="shared" si="0"/>
        <v>200</v>
      </c>
      <c r="H9" s="19">
        <f t="shared" si="1"/>
        <v>25.8</v>
      </c>
      <c r="I9" s="19">
        <v>386</v>
      </c>
      <c r="J9" s="17"/>
    </row>
    <row r="10" spans="1:10">
      <c r="A10" s="16">
        <v>43695</v>
      </c>
      <c r="B10" s="48" t="s">
        <v>163</v>
      </c>
      <c r="C10" s="17">
        <v>8</v>
      </c>
      <c r="D10" s="49">
        <v>609</v>
      </c>
      <c r="E10" s="50">
        <v>31</v>
      </c>
      <c r="F10" s="50"/>
      <c r="G10" s="51">
        <f t="shared" si="0"/>
        <v>1860</v>
      </c>
      <c r="H10" s="52">
        <f t="shared" si="1"/>
        <v>19.64516129032258</v>
      </c>
      <c r="I10" s="53">
        <v>5587</v>
      </c>
      <c r="J10" s="17"/>
    </row>
    <row r="11" spans="1:10">
      <c r="A11" s="16">
        <v>43697</v>
      </c>
      <c r="B11" s="48" t="s">
        <v>162</v>
      </c>
      <c r="C11" s="17">
        <v>9</v>
      </c>
      <c r="D11" s="49">
        <v>622</v>
      </c>
      <c r="E11" s="50">
        <v>40</v>
      </c>
      <c r="F11" s="50"/>
      <c r="G11" s="51">
        <f t="shared" si="0"/>
        <v>2400</v>
      </c>
      <c r="H11" s="52">
        <f t="shared" si="1"/>
        <v>15.549999999999999</v>
      </c>
      <c r="I11" s="54">
        <v>6197</v>
      </c>
      <c r="J11" s="17"/>
    </row>
    <row r="12" spans="1:10">
      <c r="A12" s="16">
        <v>43708</v>
      </c>
      <c r="B12" s="15" t="s">
        <v>144</v>
      </c>
      <c r="C12" s="17">
        <v>9</v>
      </c>
      <c r="D12" s="15">
        <v>89</v>
      </c>
      <c r="E12" s="18">
        <v>3</v>
      </c>
      <c r="F12" s="18">
        <v>44</v>
      </c>
      <c r="G12" s="3">
        <f t="shared" ref="G12" si="2">SUM(E12*60+F12)</f>
        <v>224</v>
      </c>
      <c r="H12" s="19">
        <f t="shared" ref="H12" si="3">SUM(D12/G12*60)</f>
        <v>23.839285714285712</v>
      </c>
      <c r="I12" s="4">
        <v>490</v>
      </c>
      <c r="J12" s="17"/>
    </row>
    <row r="13" spans="1:10">
      <c r="A13" s="16"/>
      <c r="B13" s="15"/>
      <c r="C13" s="17">
        <v>11</v>
      </c>
      <c r="D13" s="15"/>
      <c r="E13" s="18"/>
      <c r="F13" s="18"/>
      <c r="G13" s="3">
        <f t="shared" si="0"/>
        <v>0</v>
      </c>
      <c r="H13" s="19" t="e">
        <f t="shared" si="1"/>
        <v>#DIV/0!</v>
      </c>
      <c r="I13" s="4"/>
      <c r="J13" s="17"/>
    </row>
    <row r="14" spans="1:10">
      <c r="A14" s="16"/>
      <c r="B14" s="15"/>
      <c r="C14" s="17">
        <v>12</v>
      </c>
      <c r="D14" s="15"/>
      <c r="E14" s="18"/>
      <c r="F14" s="18"/>
      <c r="G14" s="3">
        <f t="shared" si="0"/>
        <v>0</v>
      </c>
      <c r="H14" s="19" t="e">
        <f t="shared" si="1"/>
        <v>#DIV/0!</v>
      </c>
      <c r="I14" s="4"/>
      <c r="J14" s="15"/>
    </row>
    <row r="15" spans="1:10">
      <c r="A15" s="16"/>
      <c r="B15" s="15"/>
      <c r="C15" s="17">
        <v>13</v>
      </c>
      <c r="D15" s="15"/>
      <c r="E15" s="18"/>
      <c r="F15" s="18"/>
      <c r="G15" s="3">
        <f t="shared" si="0"/>
        <v>0</v>
      </c>
      <c r="H15" s="19" t="e">
        <f t="shared" si="1"/>
        <v>#DIV/0!</v>
      </c>
      <c r="I15" s="4"/>
      <c r="J15" s="15"/>
    </row>
    <row r="16" spans="1:10">
      <c r="A16" s="16"/>
      <c r="B16" s="15"/>
      <c r="C16" s="17">
        <v>14</v>
      </c>
      <c r="D16" s="15"/>
      <c r="E16" s="18"/>
      <c r="F16" s="18"/>
      <c r="G16" s="3">
        <f t="shared" si="0"/>
        <v>0</v>
      </c>
      <c r="H16" s="19" t="e">
        <f t="shared" si="1"/>
        <v>#DIV/0!</v>
      </c>
      <c r="I16" s="4"/>
      <c r="J16" s="15"/>
    </row>
    <row r="17" spans="1:10">
      <c r="A17" s="16"/>
      <c r="B17" s="15"/>
      <c r="C17" s="17">
        <v>15</v>
      </c>
      <c r="D17" s="15"/>
      <c r="E17" s="18"/>
      <c r="F17" s="18"/>
      <c r="G17" s="3">
        <f t="shared" si="0"/>
        <v>0</v>
      </c>
      <c r="H17" s="19" t="e">
        <f t="shared" si="1"/>
        <v>#DIV/0!</v>
      </c>
      <c r="I17" s="4"/>
      <c r="J17" s="15"/>
    </row>
    <row r="18" spans="1:10">
      <c r="A18" s="16"/>
      <c r="B18" s="15"/>
      <c r="C18" s="17">
        <v>16</v>
      </c>
      <c r="D18" s="15"/>
      <c r="E18" s="18"/>
      <c r="F18" s="18"/>
      <c r="G18" s="3">
        <f t="shared" si="0"/>
        <v>0</v>
      </c>
      <c r="H18" s="19" t="e">
        <f t="shared" si="1"/>
        <v>#DIV/0!</v>
      </c>
      <c r="I18" s="4"/>
      <c r="J18" s="15"/>
    </row>
    <row r="19" spans="1:10">
      <c r="A19" s="5"/>
      <c r="B19" s="3"/>
      <c r="C19" s="17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>
      <c r="A20" s="5"/>
      <c r="B20" s="3"/>
      <c r="C20" s="17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>
      <c r="A21" s="5"/>
      <c r="B21" s="34"/>
      <c r="C21" s="17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>
      <c r="A22" s="5"/>
      <c r="B22" s="47"/>
      <c r="C22" s="17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>
      <c r="A23" s="5"/>
      <c r="B23" s="3"/>
      <c r="C23" s="15">
        <v>21</v>
      </c>
      <c r="D23" s="3"/>
      <c r="E23" s="6"/>
      <c r="F23" s="6"/>
      <c r="G23" s="3">
        <f t="shared" ref="G23" si="4">SUM(E23*60+F23)</f>
        <v>0</v>
      </c>
      <c r="H23" s="4" t="e">
        <f t="shared" si="1"/>
        <v>#DIV/0!</v>
      </c>
      <c r="I23" s="4"/>
      <c r="J23" s="3"/>
    </row>
    <row r="24" spans="1:10">
      <c r="A24" s="35"/>
      <c r="B24" s="36"/>
      <c r="C24" s="36"/>
      <c r="D24" s="36"/>
      <c r="E24" s="37"/>
      <c r="F24" s="37"/>
      <c r="G24" s="36"/>
      <c r="H24" s="38"/>
      <c r="I24" s="2">
        <f>SUM(I3:I23)</f>
        <v>15008</v>
      </c>
      <c r="J24" s="36"/>
    </row>
    <row r="25" spans="1:10">
      <c r="D25">
        <f>SUM(D3:D24)</f>
        <v>2007</v>
      </c>
      <c r="H25" s="2">
        <f>SUM(Juil!H27+Aout!I24)</f>
        <v>63123</v>
      </c>
    </row>
    <row r="26" spans="1:10">
      <c r="B26">
        <f>SUM(Juil!B27+Aout!D25)</f>
        <v>12006.5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5"/>
  <sheetViews>
    <sheetView workbookViewId="0">
      <selection activeCell="B6" sqref="B6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2" ht="27" thickBot="1">
      <c r="A1" s="57" t="s">
        <v>15</v>
      </c>
      <c r="B1" s="57"/>
      <c r="C1" s="57"/>
      <c r="D1" s="57"/>
      <c r="E1" s="57"/>
      <c r="F1" s="57"/>
      <c r="G1" s="57"/>
      <c r="H1" s="28">
        <f>SUM(Janv!H1)</f>
        <v>2019</v>
      </c>
      <c r="I1" s="28"/>
      <c r="J1" s="28"/>
    </row>
    <row r="2" spans="1:12" ht="19.5" thickBot="1">
      <c r="A2" s="11" t="s">
        <v>0</v>
      </c>
      <c r="B2" s="25" t="s">
        <v>1</v>
      </c>
      <c r="C2" s="12" t="s">
        <v>6</v>
      </c>
      <c r="D2" s="12" t="s">
        <v>2</v>
      </c>
      <c r="E2" s="56" t="s">
        <v>3</v>
      </c>
      <c r="F2" s="56"/>
      <c r="G2" s="56"/>
      <c r="H2" s="13" t="s">
        <v>4</v>
      </c>
      <c r="I2" s="33" t="s">
        <v>19</v>
      </c>
      <c r="J2" s="14" t="s">
        <v>5</v>
      </c>
    </row>
    <row r="3" spans="1:12">
      <c r="A3" s="20">
        <v>43711</v>
      </c>
      <c r="B3" s="3" t="s">
        <v>145</v>
      </c>
      <c r="C3" s="17">
        <v>1</v>
      </c>
      <c r="D3" s="17">
        <v>75</v>
      </c>
      <c r="E3" s="21">
        <v>3</v>
      </c>
      <c r="F3" s="21">
        <v>20</v>
      </c>
      <c r="G3" s="17">
        <f>SUM(E3*60+F3)</f>
        <v>200</v>
      </c>
      <c r="H3" s="22">
        <f>SUM(D3/G3*60)</f>
        <v>22.5</v>
      </c>
      <c r="I3" s="10">
        <v>430</v>
      </c>
      <c r="J3" s="17"/>
    </row>
    <row r="4" spans="1:12">
      <c r="A4" s="16">
        <v>43713</v>
      </c>
      <c r="B4" s="3" t="s">
        <v>146</v>
      </c>
      <c r="C4" s="17">
        <v>2</v>
      </c>
      <c r="D4" s="15">
        <v>148</v>
      </c>
      <c r="E4" s="18">
        <v>6</v>
      </c>
      <c r="F4" s="18">
        <v>10</v>
      </c>
      <c r="G4" s="15">
        <f t="shared" ref="G4:G23" si="0">SUM(E4*60+F4)</f>
        <v>370</v>
      </c>
      <c r="H4" s="19">
        <f t="shared" ref="H4:H23" si="1">SUM(D4/G4*60)</f>
        <v>24</v>
      </c>
      <c r="I4" s="10">
        <v>765</v>
      </c>
      <c r="J4" s="15"/>
    </row>
    <row r="5" spans="1:12">
      <c r="A5" s="16"/>
      <c r="B5" s="27"/>
      <c r="C5" s="17">
        <v>3</v>
      </c>
      <c r="D5" s="15"/>
      <c r="E5" s="18"/>
      <c r="F5" s="18"/>
      <c r="G5" s="15">
        <f t="shared" si="0"/>
        <v>0</v>
      </c>
      <c r="H5" s="19" t="e">
        <f t="shared" si="1"/>
        <v>#DIV/0!</v>
      </c>
      <c r="I5" s="19"/>
      <c r="J5" s="15"/>
    </row>
    <row r="6" spans="1:12">
      <c r="A6" s="16">
        <v>43719</v>
      </c>
      <c r="B6" s="27" t="s">
        <v>147</v>
      </c>
      <c r="C6" s="17">
        <v>2</v>
      </c>
      <c r="D6" s="15">
        <v>40</v>
      </c>
      <c r="E6" s="18"/>
      <c r="F6" s="18"/>
      <c r="G6" s="15">
        <f t="shared" ref="G6" si="2">SUM(E6*60+F6)</f>
        <v>0</v>
      </c>
      <c r="H6" s="19" t="e">
        <f t="shared" ref="H6" si="3">SUM(D6/G6*60)</f>
        <v>#DIV/0!</v>
      </c>
      <c r="I6" s="19">
        <v>200</v>
      </c>
      <c r="J6" s="15"/>
    </row>
    <row r="7" spans="1:12">
      <c r="A7" s="16">
        <v>43720</v>
      </c>
      <c r="B7" s="27" t="s">
        <v>147</v>
      </c>
      <c r="C7" s="17">
        <v>5</v>
      </c>
      <c r="D7" s="15">
        <v>51</v>
      </c>
      <c r="E7" s="18"/>
      <c r="F7" s="18"/>
      <c r="G7" s="15">
        <f t="shared" si="0"/>
        <v>0</v>
      </c>
      <c r="H7" s="19" t="e">
        <f t="shared" si="1"/>
        <v>#DIV/0!</v>
      </c>
      <c r="I7" s="19">
        <v>200</v>
      </c>
      <c r="J7" s="15"/>
    </row>
    <row r="8" spans="1:12">
      <c r="A8" s="16">
        <v>43722</v>
      </c>
      <c r="B8" s="27" t="s">
        <v>147</v>
      </c>
      <c r="C8" s="17">
        <v>6</v>
      </c>
      <c r="D8" s="15">
        <v>32</v>
      </c>
      <c r="E8" s="18"/>
      <c r="F8" s="18"/>
      <c r="G8" s="15">
        <f t="shared" si="0"/>
        <v>0</v>
      </c>
      <c r="H8" s="19" t="e">
        <f t="shared" si="1"/>
        <v>#DIV/0!</v>
      </c>
      <c r="I8" s="19">
        <v>300</v>
      </c>
      <c r="J8" s="15"/>
      <c r="L8" s="24"/>
    </row>
    <row r="9" spans="1:12">
      <c r="A9" s="16">
        <v>43723</v>
      </c>
      <c r="B9" s="27" t="s">
        <v>147</v>
      </c>
      <c r="C9" s="17">
        <v>7</v>
      </c>
      <c r="D9" s="15">
        <v>56</v>
      </c>
      <c r="E9" s="18">
        <v>2</v>
      </c>
      <c r="F9" s="18">
        <v>30</v>
      </c>
      <c r="G9" s="15">
        <f t="shared" si="0"/>
        <v>150</v>
      </c>
      <c r="H9" s="19">
        <f t="shared" si="1"/>
        <v>22.400000000000002</v>
      </c>
      <c r="I9" s="19">
        <v>870</v>
      </c>
      <c r="J9" s="15"/>
    </row>
    <row r="10" spans="1:12">
      <c r="A10" s="16">
        <v>43724</v>
      </c>
      <c r="B10" s="27" t="s">
        <v>147</v>
      </c>
      <c r="C10" s="17">
        <v>8</v>
      </c>
      <c r="D10" s="15">
        <v>71</v>
      </c>
      <c r="E10" s="18"/>
      <c r="F10" s="18"/>
      <c r="G10" s="15">
        <f t="shared" si="0"/>
        <v>0</v>
      </c>
      <c r="H10" s="19" t="e">
        <f t="shared" si="1"/>
        <v>#DIV/0!</v>
      </c>
      <c r="I10" s="10">
        <v>560</v>
      </c>
      <c r="J10" s="15"/>
    </row>
    <row r="11" spans="1:12">
      <c r="A11" s="16">
        <v>43726</v>
      </c>
      <c r="B11" s="27" t="s">
        <v>147</v>
      </c>
      <c r="C11" s="17">
        <v>9</v>
      </c>
      <c r="D11" s="15">
        <v>47</v>
      </c>
      <c r="E11" s="18"/>
      <c r="F11" s="18"/>
      <c r="G11" s="15">
        <f t="shared" si="0"/>
        <v>0</v>
      </c>
      <c r="H11" s="19" t="e">
        <f t="shared" si="1"/>
        <v>#DIV/0!</v>
      </c>
      <c r="I11" s="4">
        <v>1363</v>
      </c>
      <c r="J11" s="15"/>
    </row>
    <row r="12" spans="1:12">
      <c r="A12" s="5">
        <v>43726</v>
      </c>
      <c r="B12" s="27" t="s">
        <v>147</v>
      </c>
      <c r="C12" s="8">
        <v>10</v>
      </c>
      <c r="D12" s="3">
        <v>62</v>
      </c>
      <c r="E12" s="6">
        <v>3</v>
      </c>
      <c r="F12" s="6"/>
      <c r="G12" s="3">
        <f t="shared" si="0"/>
        <v>180</v>
      </c>
      <c r="H12" s="4">
        <f t="shared" si="1"/>
        <v>20.666666666666668</v>
      </c>
      <c r="I12" s="4">
        <v>1024</v>
      </c>
      <c r="J12" s="3" t="s">
        <v>148</v>
      </c>
      <c r="K12" s="24"/>
    </row>
    <row r="13" spans="1:12">
      <c r="A13" s="5"/>
      <c r="B13" s="3"/>
      <c r="C13" s="8">
        <v>11</v>
      </c>
      <c r="D13" s="3"/>
      <c r="E13" s="6"/>
      <c r="F13" s="6"/>
      <c r="G13" s="3">
        <f t="shared" si="0"/>
        <v>0</v>
      </c>
      <c r="H13" s="4" t="e">
        <f t="shared" si="1"/>
        <v>#DIV/0!</v>
      </c>
      <c r="I13" s="4"/>
      <c r="J13" s="3"/>
    </row>
    <row r="14" spans="1:12">
      <c r="A14" s="5">
        <v>43729</v>
      </c>
      <c r="B14" s="3" t="s">
        <v>149</v>
      </c>
      <c r="C14" s="8">
        <v>12</v>
      </c>
      <c r="D14" s="3">
        <v>60</v>
      </c>
      <c r="E14" s="6">
        <v>2</v>
      </c>
      <c r="F14" s="6">
        <v>17</v>
      </c>
      <c r="G14" s="3">
        <f t="shared" si="0"/>
        <v>137</v>
      </c>
      <c r="H14" s="4">
        <f t="shared" si="1"/>
        <v>26.277372262773724</v>
      </c>
      <c r="I14" s="4"/>
      <c r="J14" s="15"/>
    </row>
    <row r="15" spans="1:12">
      <c r="A15" s="5">
        <v>43734</v>
      </c>
      <c r="B15" s="3" t="s">
        <v>150</v>
      </c>
      <c r="C15" s="8">
        <v>13</v>
      </c>
      <c r="D15" s="3">
        <v>98</v>
      </c>
      <c r="E15" s="6">
        <v>3</v>
      </c>
      <c r="F15" s="6">
        <v>54</v>
      </c>
      <c r="G15" s="3">
        <f t="shared" si="0"/>
        <v>234</v>
      </c>
      <c r="H15" s="4">
        <f t="shared" si="1"/>
        <v>25.128205128205128</v>
      </c>
      <c r="I15" s="4">
        <v>350</v>
      </c>
      <c r="J15" s="3"/>
    </row>
    <row r="16" spans="1:12">
      <c r="A16" s="5">
        <v>43736</v>
      </c>
      <c r="B16" s="3" t="s">
        <v>151</v>
      </c>
      <c r="C16" s="8">
        <v>14</v>
      </c>
      <c r="D16" s="3">
        <v>83</v>
      </c>
      <c r="E16" s="6">
        <v>3</v>
      </c>
      <c r="F16" s="6">
        <v>10</v>
      </c>
      <c r="G16" s="3">
        <f t="shared" si="0"/>
        <v>190</v>
      </c>
      <c r="H16" s="4">
        <f t="shared" si="1"/>
        <v>26.210526315789476</v>
      </c>
      <c r="I16" s="4">
        <v>534</v>
      </c>
      <c r="J16" s="3"/>
    </row>
    <row r="17" spans="1:10">
      <c r="A17" s="5">
        <v>43736</v>
      </c>
      <c r="B17" s="15" t="s">
        <v>60</v>
      </c>
      <c r="C17" s="8">
        <v>15</v>
      </c>
      <c r="D17" s="3">
        <v>21</v>
      </c>
      <c r="E17" s="6">
        <v>1</v>
      </c>
      <c r="F17" s="6">
        <v>10</v>
      </c>
      <c r="G17" s="3">
        <f t="shared" si="0"/>
        <v>70</v>
      </c>
      <c r="H17" s="4">
        <f t="shared" si="1"/>
        <v>18</v>
      </c>
      <c r="I17" s="4"/>
      <c r="J17" s="3"/>
    </row>
    <row r="18" spans="1:10">
      <c r="A18" s="5"/>
      <c r="B18" s="26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</row>
    <row r="19" spans="1:10">
      <c r="A19" s="5"/>
      <c r="B19" s="26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>
      <c r="A20" s="5"/>
      <c r="B20" s="26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>
      <c r="D24">
        <f>SUM(D3:D23)</f>
        <v>844</v>
      </c>
      <c r="I24" s="2">
        <f>SUM(I3:I23)</f>
        <v>6596</v>
      </c>
    </row>
    <row r="25" spans="1:10">
      <c r="B25">
        <f>SUM(Aout!B26+Sept!D24)</f>
        <v>12850.5</v>
      </c>
      <c r="H25" s="2">
        <f>SUM(Aout!H25+Sept!I24)</f>
        <v>69719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B13" sqref="B13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>
      <c r="A1" s="57" t="s">
        <v>16</v>
      </c>
      <c r="B1" s="57"/>
      <c r="C1" s="57"/>
      <c r="D1" s="57"/>
      <c r="E1" s="57"/>
      <c r="F1" s="57"/>
      <c r="G1" s="57"/>
      <c r="H1" s="28">
        <f>SUM(Janv!H1)</f>
        <v>2019</v>
      </c>
      <c r="I1" s="28"/>
      <c r="J1" s="28"/>
    </row>
    <row r="2" spans="1:10" ht="19.5" thickBot="1">
      <c r="A2" s="11" t="s">
        <v>0</v>
      </c>
      <c r="B2" s="12" t="s">
        <v>1</v>
      </c>
      <c r="C2" s="12" t="s">
        <v>6</v>
      </c>
      <c r="D2" s="12" t="s">
        <v>2</v>
      </c>
      <c r="E2" s="56" t="s">
        <v>3</v>
      </c>
      <c r="F2" s="56"/>
      <c r="G2" s="56"/>
      <c r="H2" s="13" t="s">
        <v>4</v>
      </c>
      <c r="I2" s="33" t="s">
        <v>19</v>
      </c>
      <c r="J2" s="14" t="s">
        <v>5</v>
      </c>
    </row>
    <row r="3" spans="1:10">
      <c r="A3" s="20">
        <v>43740</v>
      </c>
      <c r="B3" s="17" t="s">
        <v>152</v>
      </c>
      <c r="C3" s="17">
        <v>1</v>
      </c>
      <c r="D3" s="17">
        <v>95</v>
      </c>
      <c r="E3" s="21">
        <v>3</v>
      </c>
      <c r="F3" s="21">
        <v>46</v>
      </c>
      <c r="G3" s="17">
        <f>SUM(E3*60+F3)</f>
        <v>226</v>
      </c>
      <c r="H3" s="22">
        <f>SUM(D3/G3*60)</f>
        <v>25.221238938053098</v>
      </c>
      <c r="I3" s="10"/>
      <c r="J3" s="17"/>
    </row>
    <row r="4" spans="1:10">
      <c r="A4" s="16">
        <v>43741</v>
      </c>
      <c r="B4" s="15" t="s">
        <v>153</v>
      </c>
      <c r="C4" s="17">
        <v>2</v>
      </c>
      <c r="D4" s="15">
        <v>99</v>
      </c>
      <c r="E4" s="18">
        <v>3</v>
      </c>
      <c r="F4" s="18">
        <v>58</v>
      </c>
      <c r="G4" s="15">
        <f t="shared" ref="G4:G23" si="0">SUM(E4*60+F4)</f>
        <v>238</v>
      </c>
      <c r="H4" s="19">
        <f t="shared" ref="H4:H23" si="1">SUM(D4/G4*60)</f>
        <v>24.957983193277311</v>
      </c>
      <c r="I4" s="10">
        <v>450</v>
      </c>
      <c r="J4" s="3"/>
    </row>
    <row r="5" spans="1:10">
      <c r="A5" s="16">
        <v>43743</v>
      </c>
      <c r="B5" s="15" t="s">
        <v>154</v>
      </c>
      <c r="C5" s="17">
        <v>3</v>
      </c>
      <c r="D5" s="15">
        <v>28</v>
      </c>
      <c r="E5" s="18">
        <v>1</v>
      </c>
      <c r="F5" s="18">
        <v>40</v>
      </c>
      <c r="G5" s="15">
        <f t="shared" si="0"/>
        <v>100</v>
      </c>
      <c r="H5" s="19">
        <f t="shared" si="1"/>
        <v>16.8</v>
      </c>
      <c r="I5" s="19">
        <v>25</v>
      </c>
      <c r="J5" s="15"/>
    </row>
    <row r="6" spans="1:10">
      <c r="A6" s="16">
        <v>43746</v>
      </c>
      <c r="B6" s="15" t="s">
        <v>155</v>
      </c>
      <c r="C6" s="17">
        <v>4</v>
      </c>
      <c r="D6" s="15">
        <v>32</v>
      </c>
      <c r="E6" s="18">
        <v>1</v>
      </c>
      <c r="F6" s="18">
        <v>20</v>
      </c>
      <c r="G6" s="15">
        <f t="shared" si="0"/>
        <v>80</v>
      </c>
      <c r="H6" s="19">
        <f t="shared" si="1"/>
        <v>24</v>
      </c>
      <c r="I6" s="19"/>
      <c r="J6" s="15"/>
    </row>
    <row r="7" spans="1:10">
      <c r="A7" s="16">
        <v>43747</v>
      </c>
      <c r="B7" s="15" t="s">
        <v>156</v>
      </c>
      <c r="C7" s="17">
        <v>5</v>
      </c>
      <c r="D7" s="15">
        <v>96</v>
      </c>
      <c r="E7" s="18">
        <v>3</v>
      </c>
      <c r="F7" s="18">
        <v>50</v>
      </c>
      <c r="G7" s="15">
        <f t="shared" si="0"/>
        <v>230</v>
      </c>
      <c r="H7" s="19">
        <f t="shared" si="1"/>
        <v>25.043478260869563</v>
      </c>
      <c r="I7" s="19">
        <v>400</v>
      </c>
      <c r="J7" s="15"/>
    </row>
    <row r="8" spans="1:10">
      <c r="A8" s="16">
        <v>43748</v>
      </c>
      <c r="B8" s="15" t="s">
        <v>157</v>
      </c>
      <c r="C8" s="17">
        <v>6</v>
      </c>
      <c r="D8" s="15">
        <v>104</v>
      </c>
      <c r="E8" s="18">
        <v>4</v>
      </c>
      <c r="F8" s="18">
        <v>0</v>
      </c>
      <c r="G8" s="15">
        <f t="shared" si="0"/>
        <v>240</v>
      </c>
      <c r="H8" s="19">
        <f t="shared" si="1"/>
        <v>26</v>
      </c>
      <c r="I8" s="19">
        <v>400</v>
      </c>
      <c r="J8" s="3"/>
    </row>
    <row r="9" spans="1:10">
      <c r="A9" s="16">
        <v>43750</v>
      </c>
      <c r="B9" s="15" t="s">
        <v>158</v>
      </c>
      <c r="C9" s="17">
        <v>7</v>
      </c>
      <c r="D9" s="15">
        <v>74</v>
      </c>
      <c r="E9" s="18">
        <v>2</v>
      </c>
      <c r="F9" s="18">
        <v>51</v>
      </c>
      <c r="G9" s="15">
        <f t="shared" si="0"/>
        <v>171</v>
      </c>
      <c r="H9" s="19">
        <f t="shared" si="1"/>
        <v>25.964912280701753</v>
      </c>
      <c r="I9" s="19">
        <v>487</v>
      </c>
      <c r="J9" s="15"/>
    </row>
    <row r="10" spans="1:10">
      <c r="A10" s="16">
        <v>43753</v>
      </c>
      <c r="B10" s="15" t="s">
        <v>159</v>
      </c>
      <c r="C10" s="17">
        <v>8</v>
      </c>
      <c r="D10" s="15">
        <v>82</v>
      </c>
      <c r="E10" s="18">
        <v>3</v>
      </c>
      <c r="F10" s="18">
        <v>20</v>
      </c>
      <c r="G10" s="15">
        <f t="shared" si="0"/>
        <v>200</v>
      </c>
      <c r="H10" s="19">
        <f t="shared" si="1"/>
        <v>24.599999999999998</v>
      </c>
      <c r="I10" s="10"/>
      <c r="J10" s="15"/>
    </row>
    <row r="11" spans="1:10">
      <c r="A11" s="5">
        <v>43755</v>
      </c>
      <c r="B11" s="15" t="s">
        <v>160</v>
      </c>
      <c r="C11" s="8">
        <v>9</v>
      </c>
      <c r="D11" s="3">
        <v>95</v>
      </c>
      <c r="E11" s="6">
        <v>3</v>
      </c>
      <c r="F11" s="6">
        <v>50</v>
      </c>
      <c r="G11" s="3">
        <f t="shared" si="0"/>
        <v>230</v>
      </c>
      <c r="H11" s="4">
        <f t="shared" si="1"/>
        <v>24.782608695652176</v>
      </c>
      <c r="I11" s="4">
        <v>424</v>
      </c>
      <c r="J11" s="3"/>
    </row>
    <row r="12" spans="1:10">
      <c r="A12" s="5">
        <v>43767</v>
      </c>
      <c r="B12" s="3" t="s">
        <v>161</v>
      </c>
      <c r="C12" s="8">
        <v>10</v>
      </c>
      <c r="D12" s="3">
        <v>94</v>
      </c>
      <c r="E12" s="6">
        <v>3</v>
      </c>
      <c r="F12" s="6">
        <v>55</v>
      </c>
      <c r="G12" s="3">
        <f t="shared" si="0"/>
        <v>235</v>
      </c>
      <c r="H12" s="4">
        <f t="shared" si="1"/>
        <v>24</v>
      </c>
      <c r="I12" s="4">
        <v>300</v>
      </c>
      <c r="J12" s="3"/>
    </row>
    <row r="13" spans="1:10">
      <c r="A13" s="5">
        <v>43769</v>
      </c>
      <c r="B13" s="3" t="s">
        <v>194</v>
      </c>
      <c r="C13" s="8">
        <v>11</v>
      </c>
      <c r="D13" s="3">
        <v>96</v>
      </c>
      <c r="E13" s="6">
        <v>3</v>
      </c>
      <c r="F13" s="6">
        <v>41</v>
      </c>
      <c r="G13" s="3">
        <f t="shared" si="0"/>
        <v>221</v>
      </c>
      <c r="H13" s="4">
        <f t="shared" si="1"/>
        <v>26.063348416289593</v>
      </c>
      <c r="I13" s="4">
        <v>300</v>
      </c>
      <c r="J13" s="3"/>
    </row>
    <row r="14" spans="1:10">
      <c r="A14" s="5"/>
      <c r="B14" s="3"/>
      <c r="C14" s="8">
        <v>12</v>
      </c>
      <c r="D14" s="3"/>
      <c r="E14" s="6"/>
      <c r="F14" s="6"/>
      <c r="G14" s="3">
        <f t="shared" si="0"/>
        <v>0</v>
      </c>
      <c r="H14" s="4" t="e">
        <f t="shared" si="1"/>
        <v>#DIV/0!</v>
      </c>
      <c r="I14" s="4"/>
      <c r="J14" s="3"/>
    </row>
    <row r="15" spans="1:10">
      <c r="A15" s="5"/>
      <c r="B15" s="15"/>
      <c r="C15" s="8">
        <v>13</v>
      </c>
      <c r="D15" s="3"/>
      <c r="E15" s="6"/>
      <c r="F15" s="6"/>
      <c r="G15" s="3">
        <f t="shared" si="0"/>
        <v>0</v>
      </c>
      <c r="H15" s="4" t="e">
        <f t="shared" si="1"/>
        <v>#DIV/0!</v>
      </c>
      <c r="I15" s="4"/>
      <c r="J15" s="3"/>
    </row>
    <row r="16" spans="1:10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4"/>
      <c r="J16" s="3"/>
    </row>
    <row r="17" spans="1:10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3"/>
    </row>
    <row r="18" spans="1:10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</row>
    <row r="19" spans="1:10">
      <c r="A19" s="5"/>
      <c r="B19" s="15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>
      <c r="D24">
        <f>SUM(D3:D23)</f>
        <v>895</v>
      </c>
      <c r="I24" s="2">
        <f>SUM(I3:I23)</f>
        <v>2786</v>
      </c>
    </row>
    <row r="25" spans="1:10">
      <c r="B25">
        <f>SUM(Sept!B25+Oct!D24)</f>
        <v>13745.5</v>
      </c>
      <c r="H25" s="2">
        <f>SUM(Sept!H25+Oct!I24)</f>
        <v>72505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B17" sqref="B17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>
      <c r="A1" s="57" t="s">
        <v>17</v>
      </c>
      <c r="B1" s="57"/>
      <c r="C1" s="57"/>
      <c r="D1" s="57"/>
      <c r="E1" s="57"/>
      <c r="F1" s="57"/>
      <c r="G1" s="57"/>
      <c r="H1" s="28">
        <f>SUM(Janv!H1)</f>
        <v>2019</v>
      </c>
      <c r="I1" s="28"/>
      <c r="J1" s="28"/>
    </row>
    <row r="2" spans="1:10" ht="19.5" thickBot="1">
      <c r="A2" s="11" t="s">
        <v>0</v>
      </c>
      <c r="B2" s="12" t="s">
        <v>1</v>
      </c>
      <c r="C2" s="12" t="s">
        <v>6</v>
      </c>
      <c r="D2" s="12" t="s">
        <v>2</v>
      </c>
      <c r="E2" s="56" t="s">
        <v>3</v>
      </c>
      <c r="F2" s="56"/>
      <c r="G2" s="56"/>
      <c r="H2" s="13" t="s">
        <v>4</v>
      </c>
      <c r="I2" s="33" t="s">
        <v>19</v>
      </c>
      <c r="J2" s="14" t="s">
        <v>5</v>
      </c>
    </row>
    <row r="3" spans="1:10">
      <c r="A3" s="20">
        <v>43771</v>
      </c>
      <c r="B3" s="17" t="s">
        <v>164</v>
      </c>
      <c r="C3" s="17">
        <v>1</v>
      </c>
      <c r="D3" s="17">
        <v>59</v>
      </c>
      <c r="E3" s="21">
        <v>2</v>
      </c>
      <c r="F3" s="21">
        <v>20</v>
      </c>
      <c r="G3" s="17">
        <f>SUM(E3*60+F3)</f>
        <v>140</v>
      </c>
      <c r="H3" s="22">
        <f>SUM(D3/G3*60)</f>
        <v>25.285714285714285</v>
      </c>
      <c r="I3" s="10">
        <v>300</v>
      </c>
      <c r="J3" s="15" t="s">
        <v>165</v>
      </c>
    </row>
    <row r="4" spans="1:10">
      <c r="A4" s="16">
        <v>43774</v>
      </c>
      <c r="B4" s="15" t="s">
        <v>166</v>
      </c>
      <c r="C4" s="17">
        <v>2</v>
      </c>
      <c r="D4" s="15">
        <v>98</v>
      </c>
      <c r="E4" s="18">
        <v>4</v>
      </c>
      <c r="F4" s="18">
        <v>2</v>
      </c>
      <c r="G4" s="15">
        <f t="shared" ref="G4:G23" si="0">SUM(E4*60+F4)</f>
        <v>242</v>
      </c>
      <c r="H4" s="19">
        <f t="shared" ref="H4:H23" si="1">SUM(D4/G4*60)</f>
        <v>24.297520661157023</v>
      </c>
      <c r="I4" s="10">
        <v>350</v>
      </c>
      <c r="J4" s="15" t="s">
        <v>167</v>
      </c>
    </row>
    <row r="5" spans="1:10">
      <c r="A5" s="16">
        <v>43776</v>
      </c>
      <c r="B5" s="15" t="s">
        <v>168</v>
      </c>
      <c r="C5" s="17">
        <v>3</v>
      </c>
      <c r="D5" s="15">
        <v>69</v>
      </c>
      <c r="E5" s="18">
        <v>2</v>
      </c>
      <c r="F5" s="18">
        <v>50</v>
      </c>
      <c r="G5" s="15">
        <f t="shared" si="0"/>
        <v>170</v>
      </c>
      <c r="H5" s="19">
        <f t="shared" si="1"/>
        <v>24.352941176470587</v>
      </c>
      <c r="I5" s="19">
        <v>300</v>
      </c>
      <c r="J5" s="15"/>
    </row>
    <row r="6" spans="1:10">
      <c r="A6" s="16">
        <v>43778</v>
      </c>
      <c r="B6" s="15" t="s">
        <v>169</v>
      </c>
      <c r="C6" s="17">
        <v>4</v>
      </c>
      <c r="D6" s="15">
        <v>75</v>
      </c>
      <c r="E6" s="18">
        <v>3</v>
      </c>
      <c r="F6" s="18">
        <v>10</v>
      </c>
      <c r="G6" s="15">
        <f t="shared" si="0"/>
        <v>190</v>
      </c>
      <c r="H6" s="19">
        <f t="shared" si="1"/>
        <v>23.684210526315791</v>
      </c>
      <c r="I6" s="19">
        <v>419</v>
      </c>
      <c r="J6" s="15"/>
    </row>
    <row r="7" spans="1:10">
      <c r="A7" s="16">
        <v>43778</v>
      </c>
      <c r="B7" s="15" t="s">
        <v>170</v>
      </c>
      <c r="C7" s="17">
        <v>5</v>
      </c>
      <c r="D7" s="15">
        <v>23</v>
      </c>
      <c r="E7" s="18">
        <v>1</v>
      </c>
      <c r="F7" s="18">
        <v>22</v>
      </c>
      <c r="G7" s="15">
        <f t="shared" si="0"/>
        <v>82</v>
      </c>
      <c r="H7" s="19">
        <f t="shared" si="1"/>
        <v>16.829268292682929</v>
      </c>
      <c r="I7" s="19">
        <v>80</v>
      </c>
      <c r="J7" s="15"/>
    </row>
    <row r="8" spans="1:10">
      <c r="A8" s="16">
        <v>43781</v>
      </c>
      <c r="B8" s="15" t="s">
        <v>171</v>
      </c>
      <c r="C8" s="17">
        <v>6</v>
      </c>
      <c r="D8" s="15">
        <v>90</v>
      </c>
      <c r="E8" s="18">
        <v>3</v>
      </c>
      <c r="F8" s="18">
        <v>42</v>
      </c>
      <c r="G8" s="15">
        <f t="shared" si="0"/>
        <v>222</v>
      </c>
      <c r="H8" s="19">
        <f t="shared" si="1"/>
        <v>24.324324324324326</v>
      </c>
      <c r="I8" s="19">
        <v>300</v>
      </c>
      <c r="J8" s="15"/>
    </row>
    <row r="9" spans="1:10">
      <c r="A9" s="16">
        <v>43782</v>
      </c>
      <c r="B9" s="15" t="s">
        <v>172</v>
      </c>
      <c r="C9" s="17">
        <v>7</v>
      </c>
      <c r="D9" s="15">
        <v>62</v>
      </c>
      <c r="E9" s="18">
        <v>2</v>
      </c>
      <c r="F9" s="18">
        <v>29</v>
      </c>
      <c r="G9" s="15">
        <f t="shared" si="0"/>
        <v>149</v>
      </c>
      <c r="H9" s="19">
        <f t="shared" si="1"/>
        <v>24.966442953020135</v>
      </c>
      <c r="I9" s="19">
        <v>250</v>
      </c>
      <c r="J9" s="15"/>
    </row>
    <row r="10" spans="1:10">
      <c r="A10" s="16">
        <v>43785</v>
      </c>
      <c r="B10" s="15" t="s">
        <v>173</v>
      </c>
      <c r="C10" s="17">
        <v>8</v>
      </c>
      <c r="D10" s="15">
        <v>47</v>
      </c>
      <c r="E10" s="18">
        <v>2</v>
      </c>
      <c r="F10" s="18">
        <v>0</v>
      </c>
      <c r="G10" s="15">
        <f t="shared" si="0"/>
        <v>120</v>
      </c>
      <c r="H10" s="19">
        <f t="shared" si="1"/>
        <v>23.5</v>
      </c>
      <c r="I10" s="10">
        <v>150</v>
      </c>
      <c r="J10" s="15"/>
    </row>
    <row r="11" spans="1:10">
      <c r="A11" s="16">
        <v>43787</v>
      </c>
      <c r="B11" s="6" t="s">
        <v>174</v>
      </c>
      <c r="C11" s="17">
        <v>9</v>
      </c>
      <c r="D11" s="15">
        <v>67.5</v>
      </c>
      <c r="E11" s="18">
        <v>2</v>
      </c>
      <c r="F11" s="18">
        <v>46</v>
      </c>
      <c r="G11" s="15">
        <f t="shared" si="0"/>
        <v>166</v>
      </c>
      <c r="H11" s="19">
        <f t="shared" si="1"/>
        <v>24.397590361445783</v>
      </c>
      <c r="I11" s="4">
        <v>250</v>
      </c>
      <c r="J11" s="15"/>
    </row>
    <row r="12" spans="1:10">
      <c r="A12" s="16">
        <v>43788</v>
      </c>
      <c r="B12" s="15" t="s">
        <v>175</v>
      </c>
      <c r="C12" s="17">
        <v>10</v>
      </c>
      <c r="D12" s="15">
        <v>78</v>
      </c>
      <c r="E12" s="18">
        <v>3</v>
      </c>
      <c r="F12" s="18">
        <v>10</v>
      </c>
      <c r="G12" s="15">
        <f t="shared" si="0"/>
        <v>190</v>
      </c>
      <c r="H12" s="19">
        <f t="shared" si="1"/>
        <v>24.631578947368421</v>
      </c>
      <c r="I12" s="4">
        <v>200</v>
      </c>
      <c r="J12" s="15"/>
    </row>
    <row r="13" spans="1:10">
      <c r="A13" s="16">
        <v>43791</v>
      </c>
      <c r="B13" s="15" t="s">
        <v>176</v>
      </c>
      <c r="C13" s="17">
        <v>11</v>
      </c>
      <c r="D13" s="15">
        <v>69</v>
      </c>
      <c r="E13" s="18">
        <v>3</v>
      </c>
      <c r="F13" s="18">
        <v>0</v>
      </c>
      <c r="G13" s="15">
        <f t="shared" si="0"/>
        <v>180</v>
      </c>
      <c r="H13" s="19">
        <f t="shared" si="1"/>
        <v>23</v>
      </c>
      <c r="I13" s="4">
        <v>200</v>
      </c>
      <c r="J13" s="15"/>
    </row>
    <row r="14" spans="1:10">
      <c r="A14" s="16">
        <v>43792</v>
      </c>
      <c r="B14" s="15" t="s">
        <v>177</v>
      </c>
      <c r="C14" s="17">
        <v>12</v>
      </c>
      <c r="D14" s="15">
        <v>75</v>
      </c>
      <c r="E14" s="18">
        <v>3</v>
      </c>
      <c r="F14" s="18">
        <v>3</v>
      </c>
      <c r="G14" s="15">
        <f t="shared" si="0"/>
        <v>183</v>
      </c>
      <c r="H14" s="19">
        <f t="shared" si="1"/>
        <v>24.590163934426229</v>
      </c>
      <c r="I14" s="4">
        <v>348</v>
      </c>
      <c r="J14" s="15"/>
    </row>
    <row r="15" spans="1:10">
      <c r="A15" s="5">
        <v>43795</v>
      </c>
      <c r="B15" s="3" t="s">
        <v>178</v>
      </c>
      <c r="C15" s="8">
        <v>13</v>
      </c>
      <c r="D15" s="3">
        <v>82</v>
      </c>
      <c r="E15" s="6">
        <v>3</v>
      </c>
      <c r="F15" s="6">
        <v>30</v>
      </c>
      <c r="G15" s="3">
        <f t="shared" si="0"/>
        <v>210</v>
      </c>
      <c r="H15" s="4">
        <f t="shared" si="1"/>
        <v>23.428571428571427</v>
      </c>
      <c r="I15" s="4">
        <v>200</v>
      </c>
      <c r="J15" s="15"/>
    </row>
    <row r="16" spans="1:10">
      <c r="A16" s="5">
        <v>43797</v>
      </c>
      <c r="B16" s="3" t="s">
        <v>179</v>
      </c>
      <c r="C16" s="8">
        <v>14</v>
      </c>
      <c r="D16" s="3">
        <v>91</v>
      </c>
      <c r="E16" s="55">
        <v>3</v>
      </c>
      <c r="F16" s="6">
        <v>47</v>
      </c>
      <c r="G16" s="3">
        <f t="shared" si="0"/>
        <v>227</v>
      </c>
      <c r="H16" s="4">
        <f t="shared" si="1"/>
        <v>24.052863436123349</v>
      </c>
      <c r="I16" s="4">
        <v>300</v>
      </c>
      <c r="J16" s="3"/>
    </row>
    <row r="17" spans="1:10">
      <c r="A17" s="5">
        <v>43799</v>
      </c>
      <c r="B17" s="3" t="s">
        <v>180</v>
      </c>
      <c r="C17" s="8">
        <v>15</v>
      </c>
      <c r="D17" s="3">
        <v>72</v>
      </c>
      <c r="E17" s="6">
        <v>3</v>
      </c>
      <c r="F17" s="6">
        <v>14</v>
      </c>
      <c r="G17" s="3">
        <f t="shared" si="0"/>
        <v>194</v>
      </c>
      <c r="H17" s="4">
        <f t="shared" si="1"/>
        <v>22.268041237113401</v>
      </c>
      <c r="I17" s="4">
        <v>411</v>
      </c>
      <c r="J17" s="3"/>
    </row>
    <row r="18" spans="1:10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</row>
    <row r="19" spans="1:10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>
      <c r="D24">
        <f>SUM(D3:D23)</f>
        <v>1057.5</v>
      </c>
      <c r="I24" s="2">
        <f>SUM(I3:I23)</f>
        <v>4058</v>
      </c>
    </row>
    <row r="25" spans="1:10">
      <c r="B25">
        <f>SUM(Oct!B25+Nov!D24)</f>
        <v>14803</v>
      </c>
      <c r="H25" s="2">
        <f>SUM(Oct!H25+Nov!I24)</f>
        <v>76563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>
      <selection activeCell="I28" sqref="I28:I29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>
      <c r="A1" s="57" t="s">
        <v>18</v>
      </c>
      <c r="B1" s="57"/>
      <c r="C1" s="57"/>
      <c r="D1" s="57"/>
      <c r="E1" s="57"/>
      <c r="F1" s="57"/>
      <c r="G1" s="57"/>
      <c r="H1" s="28">
        <f>SUM(Janv!H1)</f>
        <v>2019</v>
      </c>
      <c r="I1" s="28"/>
      <c r="J1" s="28"/>
    </row>
    <row r="2" spans="1:10" ht="19.5" thickBot="1">
      <c r="A2" s="11" t="s">
        <v>0</v>
      </c>
      <c r="B2" s="12" t="s">
        <v>1</v>
      </c>
      <c r="C2" s="12" t="s">
        <v>6</v>
      </c>
      <c r="D2" s="12" t="s">
        <v>2</v>
      </c>
      <c r="E2" s="56" t="s">
        <v>3</v>
      </c>
      <c r="F2" s="56"/>
      <c r="G2" s="56"/>
      <c r="H2" s="13" t="s">
        <v>4</v>
      </c>
      <c r="I2" s="33" t="s">
        <v>19</v>
      </c>
      <c r="J2" s="14" t="s">
        <v>5</v>
      </c>
    </row>
    <row r="3" spans="1:10">
      <c r="A3" s="7">
        <v>43801</v>
      </c>
      <c r="B3" s="8" t="s">
        <v>181</v>
      </c>
      <c r="C3" s="8">
        <v>1</v>
      </c>
      <c r="D3" s="8">
        <v>48</v>
      </c>
      <c r="E3" s="9">
        <v>2</v>
      </c>
      <c r="F3" s="9">
        <v>35</v>
      </c>
      <c r="G3" s="8">
        <f>SUM(E3*60+F3)</f>
        <v>155</v>
      </c>
      <c r="H3" s="10">
        <f>SUM(D3/G3*60)</f>
        <v>18.580645161290324</v>
      </c>
      <c r="I3" s="10">
        <v>100</v>
      </c>
      <c r="J3" s="8" t="s">
        <v>98</v>
      </c>
    </row>
    <row r="4" spans="1:10">
      <c r="A4" s="5">
        <v>43802</v>
      </c>
      <c r="B4" s="15" t="s">
        <v>182</v>
      </c>
      <c r="C4" s="8">
        <v>2</v>
      </c>
      <c r="D4" s="3">
        <v>93</v>
      </c>
      <c r="E4" s="6">
        <v>4</v>
      </c>
      <c r="F4" s="6"/>
      <c r="G4" s="3">
        <f t="shared" ref="G4:G23" si="0">SUM(E4*60+F4)</f>
        <v>240</v>
      </c>
      <c r="H4" s="4">
        <f t="shared" ref="H4:H23" si="1">SUM(D4/G4*60)</f>
        <v>23.25</v>
      </c>
      <c r="I4" s="10">
        <v>300</v>
      </c>
      <c r="J4" s="8"/>
    </row>
    <row r="5" spans="1:10">
      <c r="A5" s="16">
        <v>43803</v>
      </c>
      <c r="B5" s="15" t="s">
        <v>183</v>
      </c>
      <c r="C5" s="17">
        <v>3</v>
      </c>
      <c r="D5" s="15">
        <v>98</v>
      </c>
      <c r="E5" s="18">
        <v>4</v>
      </c>
      <c r="F5" s="18">
        <v>32</v>
      </c>
      <c r="G5" s="15">
        <f t="shared" si="0"/>
        <v>272</v>
      </c>
      <c r="H5" s="19">
        <f t="shared" si="1"/>
        <v>21.617647058823529</v>
      </c>
      <c r="I5" s="19">
        <v>500</v>
      </c>
      <c r="J5" s="15"/>
    </row>
    <row r="6" spans="1:10">
      <c r="A6" s="16">
        <v>43806</v>
      </c>
      <c r="B6" s="15" t="s">
        <v>184</v>
      </c>
      <c r="C6" s="17">
        <v>4</v>
      </c>
      <c r="D6" s="15">
        <v>72</v>
      </c>
      <c r="E6" s="18">
        <v>2</v>
      </c>
      <c r="F6" s="18">
        <v>58</v>
      </c>
      <c r="G6" s="15">
        <f t="shared" si="0"/>
        <v>178</v>
      </c>
      <c r="H6" s="19">
        <f t="shared" si="1"/>
        <v>24.269662921348313</v>
      </c>
      <c r="I6" s="19">
        <v>469</v>
      </c>
      <c r="J6" s="15"/>
    </row>
    <row r="7" spans="1:10">
      <c r="A7" s="16">
        <v>43809</v>
      </c>
      <c r="B7" s="15" t="s">
        <v>185</v>
      </c>
      <c r="C7" s="17">
        <v>5</v>
      </c>
      <c r="D7" s="15">
        <v>93</v>
      </c>
      <c r="E7" s="18">
        <v>3</v>
      </c>
      <c r="F7" s="18">
        <v>58</v>
      </c>
      <c r="G7" s="15">
        <f t="shared" si="0"/>
        <v>238</v>
      </c>
      <c r="H7" s="19">
        <f t="shared" si="1"/>
        <v>23.445378151260503</v>
      </c>
      <c r="I7" s="19">
        <v>300</v>
      </c>
      <c r="J7" s="15"/>
    </row>
    <row r="8" spans="1:10">
      <c r="A8" s="16">
        <v>43813</v>
      </c>
      <c r="B8" s="15" t="s">
        <v>186</v>
      </c>
      <c r="C8" s="17">
        <v>6</v>
      </c>
      <c r="D8" s="15">
        <v>75</v>
      </c>
      <c r="E8" s="18">
        <v>3</v>
      </c>
      <c r="F8" s="18">
        <v>12</v>
      </c>
      <c r="G8" s="15">
        <f t="shared" si="0"/>
        <v>192</v>
      </c>
      <c r="H8" s="19">
        <f t="shared" si="1"/>
        <v>23.4375</v>
      </c>
      <c r="I8" s="19">
        <v>331</v>
      </c>
      <c r="J8" s="15"/>
    </row>
    <row r="9" spans="1:10">
      <c r="A9" s="16">
        <v>43816</v>
      </c>
      <c r="B9" s="8" t="s">
        <v>187</v>
      </c>
      <c r="C9" s="17">
        <v>7</v>
      </c>
      <c r="D9" s="15">
        <v>71</v>
      </c>
      <c r="E9" s="18">
        <v>3</v>
      </c>
      <c r="F9" s="18">
        <v>3</v>
      </c>
      <c r="G9" s="15">
        <f t="shared" si="0"/>
        <v>183</v>
      </c>
      <c r="H9" s="19">
        <f t="shared" si="1"/>
        <v>23.278688524590162</v>
      </c>
      <c r="I9" s="19">
        <v>300</v>
      </c>
      <c r="J9" s="15"/>
    </row>
    <row r="10" spans="1:10">
      <c r="A10" s="5">
        <v>43817</v>
      </c>
      <c r="B10" s="15" t="s">
        <v>188</v>
      </c>
      <c r="C10" s="8">
        <v>8</v>
      </c>
      <c r="D10" s="3">
        <v>80</v>
      </c>
      <c r="E10" s="6">
        <v>3</v>
      </c>
      <c r="F10" s="6">
        <v>22</v>
      </c>
      <c r="G10" s="3">
        <f t="shared" si="0"/>
        <v>202</v>
      </c>
      <c r="H10" s="4">
        <f t="shared" si="1"/>
        <v>23.762376237623762</v>
      </c>
      <c r="I10" s="10">
        <v>200</v>
      </c>
      <c r="J10" s="8"/>
    </row>
    <row r="11" spans="1:10">
      <c r="A11" s="5">
        <v>43818</v>
      </c>
      <c r="B11" s="3" t="s">
        <v>189</v>
      </c>
      <c r="C11" s="8">
        <v>9</v>
      </c>
      <c r="D11" s="3">
        <v>57</v>
      </c>
      <c r="E11" s="6">
        <v>2</v>
      </c>
      <c r="F11" s="6">
        <v>21</v>
      </c>
      <c r="G11" s="3">
        <f t="shared" si="0"/>
        <v>141</v>
      </c>
      <c r="H11" s="4">
        <f t="shared" si="1"/>
        <v>24.25531914893617</v>
      </c>
      <c r="I11" s="4">
        <v>100</v>
      </c>
      <c r="J11" s="3"/>
    </row>
    <row r="12" spans="1:10">
      <c r="A12" s="5">
        <v>43820</v>
      </c>
      <c r="B12" s="3" t="s">
        <v>190</v>
      </c>
      <c r="C12" s="8">
        <v>10</v>
      </c>
      <c r="D12" s="3">
        <v>80</v>
      </c>
      <c r="E12" s="6">
        <v>3</v>
      </c>
      <c r="F12" s="6">
        <v>10</v>
      </c>
      <c r="G12" s="3">
        <f t="shared" si="0"/>
        <v>190</v>
      </c>
      <c r="H12" s="4">
        <f t="shared" si="1"/>
        <v>25.263157894736842</v>
      </c>
      <c r="I12" s="4">
        <v>354</v>
      </c>
      <c r="J12" s="3"/>
    </row>
    <row r="13" spans="1:10">
      <c r="A13" s="5">
        <v>43822</v>
      </c>
      <c r="B13" s="3" t="s">
        <v>186</v>
      </c>
      <c r="C13" s="8">
        <v>11</v>
      </c>
      <c r="D13" s="3">
        <v>78</v>
      </c>
      <c r="E13" s="6">
        <v>3</v>
      </c>
      <c r="F13" s="6">
        <v>10</v>
      </c>
      <c r="G13" s="3">
        <f t="shared" si="0"/>
        <v>190</v>
      </c>
      <c r="H13" s="4">
        <f t="shared" si="1"/>
        <v>24.631578947368421</v>
      </c>
      <c r="I13" s="4">
        <v>300</v>
      </c>
      <c r="J13" s="3"/>
    </row>
    <row r="14" spans="1:10">
      <c r="A14" s="5">
        <v>43825</v>
      </c>
      <c r="B14" s="3" t="s">
        <v>191</v>
      </c>
      <c r="C14" s="8">
        <v>12</v>
      </c>
      <c r="D14" s="3">
        <v>7</v>
      </c>
      <c r="E14" s="6">
        <v>0</v>
      </c>
      <c r="F14" s="6">
        <v>20</v>
      </c>
      <c r="G14" s="3">
        <f t="shared" si="0"/>
        <v>20</v>
      </c>
      <c r="H14" s="4">
        <f t="shared" si="1"/>
        <v>21</v>
      </c>
      <c r="I14" s="4">
        <v>20</v>
      </c>
      <c r="J14" s="3"/>
    </row>
    <row r="15" spans="1:10">
      <c r="A15" s="5">
        <v>43826</v>
      </c>
      <c r="B15" s="3" t="s">
        <v>192</v>
      </c>
      <c r="C15" s="8">
        <v>13</v>
      </c>
      <c r="D15" s="3">
        <v>72</v>
      </c>
      <c r="E15" s="6">
        <v>2</v>
      </c>
      <c r="F15" s="6">
        <v>55</v>
      </c>
      <c r="G15" s="3">
        <f t="shared" si="0"/>
        <v>175</v>
      </c>
      <c r="H15" s="4">
        <f t="shared" si="1"/>
        <v>24.685714285714287</v>
      </c>
      <c r="I15" s="4">
        <v>248</v>
      </c>
      <c r="J15" s="3"/>
    </row>
    <row r="16" spans="1:10">
      <c r="A16" s="5">
        <v>43827</v>
      </c>
      <c r="B16" s="3" t="s">
        <v>193</v>
      </c>
      <c r="C16" s="8">
        <v>14</v>
      </c>
      <c r="D16" s="3">
        <v>74</v>
      </c>
      <c r="E16" s="6">
        <v>3</v>
      </c>
      <c r="F16" s="6">
        <v>10</v>
      </c>
      <c r="G16" s="3">
        <f t="shared" si="0"/>
        <v>190</v>
      </c>
      <c r="H16" s="4">
        <f t="shared" si="1"/>
        <v>23.368421052631579</v>
      </c>
      <c r="I16" s="4">
        <v>333</v>
      </c>
      <c r="J16" s="3"/>
    </row>
    <row r="17" spans="1:10">
      <c r="A17" s="5">
        <v>43829</v>
      </c>
      <c r="B17" s="3" t="s">
        <v>195</v>
      </c>
      <c r="C17" s="8">
        <v>15</v>
      </c>
      <c r="D17" s="3">
        <v>95</v>
      </c>
      <c r="E17" s="6">
        <v>3</v>
      </c>
      <c r="F17" s="6">
        <v>40</v>
      </c>
      <c r="G17" s="3">
        <f t="shared" si="0"/>
        <v>220</v>
      </c>
      <c r="H17" s="4">
        <f t="shared" si="1"/>
        <v>25.90909090909091</v>
      </c>
      <c r="I17" s="4">
        <v>273</v>
      </c>
      <c r="J17" s="3"/>
    </row>
    <row r="18" spans="1:10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</row>
    <row r="19" spans="1:10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>
      <c r="D24">
        <f>SUM(D3:D23)</f>
        <v>1093</v>
      </c>
      <c r="I24" s="2">
        <f>SUM(I3:I23)</f>
        <v>4128</v>
      </c>
    </row>
    <row r="25" spans="1:10">
      <c r="B25">
        <f>SUM(Nov!B25+Déc!D24)</f>
        <v>15896</v>
      </c>
      <c r="H25" s="2">
        <f>SUM(Nov!H25+Déc!I24)</f>
        <v>80691</v>
      </c>
    </row>
  </sheetData>
  <mergeCells count="2">
    <mergeCell ref="E2:G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</vt:lpstr>
      <vt:lpstr>Fév</vt:lpstr>
      <vt:lpstr>Mar</vt:lpstr>
      <vt:lpstr>Avr</vt:lpstr>
      <vt:lpstr>Mai</vt:lpstr>
      <vt:lpstr>Juin</vt:lpstr>
      <vt:lpstr>Juil</vt:lpstr>
      <vt:lpstr>Aout</vt:lpstr>
      <vt:lpstr>Sept</vt:lpstr>
      <vt:lpstr>Oct</vt:lpstr>
      <vt:lpstr>Nov</vt:lpstr>
      <vt:lpstr>Déc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</dc:creator>
  <cp:lastModifiedBy>patrice</cp:lastModifiedBy>
  <dcterms:created xsi:type="dcterms:W3CDTF">2015-01-07T20:15:24Z</dcterms:created>
  <dcterms:modified xsi:type="dcterms:W3CDTF">2020-01-23T20:19:24Z</dcterms:modified>
</cp:coreProperties>
</file>