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Cyclo\suiviPerf\"/>
    </mc:Choice>
  </mc:AlternateContent>
  <xr:revisionPtr revIDLastSave="0" documentId="13_ncr:1_{27A1FA08-9522-4B5A-A540-CE8761A124A5}" xr6:coauthVersionLast="45" xr6:coauthVersionMax="45" xr10:uidLastSave="{00000000-0000-0000-0000-000000000000}"/>
  <bookViews>
    <workbookView xWindow="-120" yWindow="-120" windowWidth="19440" windowHeight="15000" activeTab="11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91029"/>
</workbook>
</file>

<file path=xl/calcChain.xml><?xml version="1.0" encoding="utf-8"?>
<calcChain xmlns="http://schemas.openxmlformats.org/spreadsheetml/2006/main">
  <c r="G3" i="10" l="1"/>
  <c r="G21" i="7" l="1"/>
  <c r="D26" i="7" l="1"/>
  <c r="G12" i="8" l="1"/>
  <c r="H12" i="8" s="1"/>
  <c r="G7" i="8"/>
  <c r="H7" i="8" s="1"/>
  <c r="G24" i="7"/>
  <c r="H24" i="7" s="1"/>
  <c r="G23" i="7"/>
  <c r="H23" i="7" s="1"/>
  <c r="G11" i="7"/>
  <c r="H11" i="7" s="1"/>
  <c r="G10" i="7"/>
  <c r="H10" i="7" s="1"/>
  <c r="I24" i="11"/>
  <c r="I24" i="10"/>
  <c r="I24" i="9"/>
  <c r="I24" i="8"/>
  <c r="I26" i="7"/>
  <c r="I24" i="6"/>
  <c r="I24" i="5"/>
  <c r="I24" i="4"/>
  <c r="I24" i="3"/>
  <c r="I24" i="2"/>
  <c r="I24" i="1"/>
  <c r="H25" i="1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G22" i="7"/>
  <c r="H22" i="7" s="1"/>
  <c r="G20" i="6"/>
  <c r="H20" i="6" s="1"/>
  <c r="G19" i="6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13" i="4"/>
  <c r="H13" i="4" s="1"/>
  <c r="G3" i="1"/>
  <c r="H3" i="1" s="1"/>
  <c r="G4" i="1"/>
  <c r="H4" i="1" s="1"/>
  <c r="G5" i="1"/>
  <c r="G6" i="1"/>
  <c r="G7" i="1"/>
  <c r="G8" i="1"/>
  <c r="H8" i="1" s="1"/>
  <c r="G9" i="1"/>
  <c r="H9" i="1" s="1"/>
  <c r="G10" i="1"/>
  <c r="H10" i="1" s="1"/>
  <c r="G11" i="1"/>
  <c r="H11" i="1" s="1"/>
  <c r="G12" i="1"/>
  <c r="H12" i="1" s="1"/>
  <c r="H5" i="1"/>
  <c r="H6" i="1"/>
  <c r="H7" i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D25" i="8"/>
  <c r="G23" i="8"/>
  <c r="H23" i="8" s="1"/>
  <c r="H22" i="8"/>
  <c r="H20" i="8"/>
  <c r="H18" i="8"/>
  <c r="G25" i="7"/>
  <c r="H25" i="7" s="1"/>
  <c r="H21" i="7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D24" i="6"/>
  <c r="G23" i="6"/>
  <c r="H23" i="6" s="1"/>
  <c r="G22" i="6"/>
  <c r="H22" i="6" s="1"/>
  <c r="G21" i="6"/>
  <c r="H21" i="6" s="1"/>
  <c r="H19" i="6"/>
  <c r="D24" i="5"/>
  <c r="H21" i="5"/>
  <c r="H14" i="5"/>
  <c r="D24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G23" i="1"/>
  <c r="H23" i="1" s="1"/>
  <c r="D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4" i="1"/>
  <c r="B25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H25" i="2" l="1"/>
  <c r="H25" i="3" s="1"/>
  <c r="H25" i="4" s="1"/>
  <c r="H25" i="5" s="1"/>
  <c r="H25" i="6" s="1"/>
  <c r="H27" i="7" s="1"/>
  <c r="H25" i="8" s="1"/>
  <c r="H25" i="9" s="1"/>
  <c r="H25" i="10" s="1"/>
  <c r="H25" i="11" s="1"/>
  <c r="H25" i="12" s="1"/>
  <c r="B25" i="2"/>
  <c r="B25" i="3" s="1"/>
  <c r="B25" i="4" s="1"/>
  <c r="B25" i="5" s="1"/>
  <c r="B25" i="6" s="1"/>
  <c r="B27" i="7" s="1"/>
  <c r="B26" i="8" s="1"/>
  <c r="B25" i="9" s="1"/>
  <c r="B25" i="10" s="1"/>
  <c r="B25" i="11" s="1"/>
  <c r="B25" i="12" s="1"/>
</calcChain>
</file>

<file path=xl/sharedStrings.xml><?xml version="1.0" encoding="utf-8"?>
<sst xmlns="http://schemas.openxmlformats.org/spreadsheetml/2006/main" count="268" uniqueCount="146">
  <si>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</si>
  <si>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</si>
  <si>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</si>
  <si>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</si>
  <si>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</si>
  <si>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</si>
  <si>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</si>
  <si>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</si>
  <si>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</si>
  <si>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</si>
  <si>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</si>
  <si>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</si>
  <si>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</si>
  <si>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</si>
  <si>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</si>
  <si>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</si>
  <si>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</si>
  <si>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</si>
  <si>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</si>
  <si>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</si>
  <si>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Avoine Saumur Ulmes st Cyr</t>
  </si>
  <si>
    <t>Avoine Benais Avrillé Langeais</t>
  </si>
  <si>
    <t>Avoine Souzay brézé Roiffé</t>
  </si>
  <si>
    <t>Chinon Richelieu IB Cravant</t>
  </si>
  <si>
    <t>Avoine IB Champigny Couesmé</t>
  </si>
  <si>
    <t>Avoine Balade USEAB</t>
  </si>
  <si>
    <t>Chinon IB Luzé Richelieu</t>
  </si>
  <si>
    <t>Avoine Ceaux Messemé Bournand</t>
  </si>
  <si>
    <t>Chinon St Epain Saché Azay</t>
  </si>
  <si>
    <t>Chinon Crisay Thilouze Azay</t>
  </si>
  <si>
    <t>Avoine Lerné Ceaux Pouant</t>
  </si>
  <si>
    <t>Avoine Saumur Meigné Roiffé</t>
  </si>
  <si>
    <t xml:space="preserve">Vent fort </t>
  </si>
  <si>
    <t>Avoine  Bournand Ternay Saix</t>
  </si>
  <si>
    <t>Chinon Saumur Meigné Coudray</t>
  </si>
  <si>
    <t>chinon St Epain Thilouze Azay</t>
  </si>
  <si>
    <t>Avoine Huismes Chinon</t>
  </si>
  <si>
    <t>Avec Evelyne</t>
  </si>
  <si>
    <t>Avoine Saumur Coudray Roiffé</t>
  </si>
  <si>
    <t>Chinon Vernoil Allonnes St Nicolas</t>
  </si>
  <si>
    <t>Avoine Saix St Léger Bournand Couziers</t>
  </si>
  <si>
    <t>Chinon Saumur Ulmes Coudray Couziers</t>
  </si>
  <si>
    <t>Avoine Marçay Basses Couziers</t>
  </si>
  <si>
    <t>Avoine Bournand Brézé Parnay</t>
  </si>
  <si>
    <t>USEAB balade</t>
  </si>
  <si>
    <t>Avoine  Vernoil Allonnes</t>
  </si>
  <si>
    <t>Rencontre de Printemps</t>
  </si>
  <si>
    <t>vent et pluie</t>
  </si>
  <si>
    <t>Avoine Saumur les Ulmes Champigny</t>
  </si>
  <si>
    <t>Chinon Gennes Montreuil bellay</t>
  </si>
  <si>
    <t>Avoine Marçay</t>
  </si>
  <si>
    <t>Confinement Home Trainer</t>
  </si>
  <si>
    <t xml:space="preserve">Avoine Courléon Blou </t>
  </si>
  <si>
    <t>Avoine LOUIS LUCILE</t>
  </si>
  <si>
    <t>Avoine LOUIS</t>
  </si>
  <si>
    <t>Avoine St Epain Villeperdue Monts</t>
  </si>
  <si>
    <t>Avoine LUCILE</t>
  </si>
  <si>
    <t>Avoine Cunault forges Coudray Roiffé</t>
  </si>
  <si>
    <t>Avoine Panzoult Azay Artannes Savonnière100</t>
  </si>
  <si>
    <t>Avoine Le Courtineau</t>
  </si>
  <si>
    <t>Avoine Lucile</t>
  </si>
  <si>
    <t>Avoine la pellerine</t>
  </si>
  <si>
    <t>Avoine Chinon</t>
  </si>
  <si>
    <t>Avoine langeais Hommes La Breille</t>
  </si>
  <si>
    <t>Avoine Mouliherne</t>
  </si>
  <si>
    <t>Avoine Cunault Doué Montreuil</t>
  </si>
  <si>
    <t>Avoine Ceaux Verniers 3 Moutiers Roiffé</t>
  </si>
  <si>
    <t>Avoine Parçay Hommes restigné</t>
  </si>
  <si>
    <t>Avoine Rillé Savigné Langeais</t>
  </si>
  <si>
    <t>Avoine IB Rilly Marigny Richelieu</t>
  </si>
  <si>
    <t>Avoine3 Moutiers Ranton Douvy</t>
  </si>
  <si>
    <t>Avoine Rigny Huismes</t>
  </si>
  <si>
    <t>Chinon Marçay Rossay Mouterre Roiffé</t>
  </si>
  <si>
    <t>Montsoreau Avoine</t>
  </si>
  <si>
    <t>Chinon Saumur Rou Roiffé</t>
  </si>
  <si>
    <t>Avoine 3 Moutiers Ranton Berrie Roiffé</t>
  </si>
  <si>
    <t>Avoine balade USEAB</t>
  </si>
  <si>
    <t>Avoine Couziers Seuilly</t>
  </si>
  <si>
    <t>Chinon St Epain Villeperdue Mont</t>
  </si>
  <si>
    <t>Chinon Richelieu Mont / Guesnes</t>
  </si>
  <si>
    <t>Avoine Courléon Avrillé Ingrandes</t>
  </si>
  <si>
    <t>Vélo francette Avoine Thouars</t>
  </si>
  <si>
    <t>Vélo francette Thouars Parthenay</t>
  </si>
  <si>
    <t>Vélo francette Parthenay Coulon</t>
  </si>
  <si>
    <t>Vélo francette Coulon Marrans</t>
  </si>
  <si>
    <t>Vélo francette Marrans Magné</t>
  </si>
  <si>
    <t>Vélo francette Magné St Projet</t>
  </si>
  <si>
    <t>Vélo francette St Projet Moncontour</t>
  </si>
  <si>
    <t>Vélo francette Moncontour Avoine</t>
  </si>
  <si>
    <t>Avoine  3 moutiers Vrères Antoigné</t>
  </si>
  <si>
    <t>Avoine La Trochoire Couziers</t>
  </si>
  <si>
    <t>Avoine Azay</t>
  </si>
  <si>
    <t>Chinon Avon Nueil Saché Cheillé</t>
  </si>
  <si>
    <t>Avoine montreuil Chacé</t>
  </si>
  <si>
    <t>Avoine Courléon La Pellerine Blou</t>
  </si>
  <si>
    <t>Avoine Ceaux Veniers 3 Moutiers</t>
  </si>
  <si>
    <t>Chinon Richelieu Jaulnay Marigny IB</t>
  </si>
  <si>
    <t>Chinon Saumur Rou Coudray</t>
  </si>
  <si>
    <t>Avoine Cheillé Vilaine Crouzilles</t>
  </si>
  <si>
    <t>Chinon Courtineau Villeperdue Azay</t>
  </si>
  <si>
    <t>Avoine Bréhémont Chinon</t>
  </si>
  <si>
    <t>Avec Evelyne et Orage</t>
  </si>
  <si>
    <t>Chinon Richelieu Jaulnay MarignyPouzay</t>
  </si>
  <si>
    <t>Turquant Avoine</t>
  </si>
  <si>
    <t>Avec Lucile</t>
  </si>
  <si>
    <t>Avoine 3 Moutiers Ranton Epieds</t>
  </si>
  <si>
    <t>Chinon Champigny Maulay Angliers</t>
  </si>
  <si>
    <t>Avoine St Cyr berrie Bernazay Roiffé</t>
  </si>
  <si>
    <t>Lésignac Durand</t>
  </si>
  <si>
    <t>Vacances 2020</t>
  </si>
  <si>
    <t>St Estephe</t>
  </si>
  <si>
    <t>Arçais Marais poitevin</t>
  </si>
  <si>
    <t>Chinon Champigny</t>
  </si>
  <si>
    <t>Avoine Ligniére Druye St Epain</t>
  </si>
  <si>
    <t>Avoine Ceaux Nueil braslou</t>
  </si>
  <si>
    <t>Avoine Couziers Thizay</t>
  </si>
  <si>
    <t>Chinon Montreuil Berrie Roiffé</t>
  </si>
  <si>
    <t>Avoine Chacé Le Puy Montreuil</t>
  </si>
  <si>
    <t>Avoine balade Véron</t>
  </si>
  <si>
    <t>Chinon Couzier Sammarcolle Pouant</t>
  </si>
  <si>
    <t>Chinon Marçay Angliers Mouterre Roiffé</t>
  </si>
  <si>
    <t>Avoine Ceaux Maulay Basses Bournand</t>
  </si>
  <si>
    <t>Chinon Chacé Vaudelnay Roiffé</t>
  </si>
  <si>
    <t>Chinon Angliers Arçay 3M Couziers</t>
  </si>
  <si>
    <t>Avoine La breille Blou Allonnes</t>
  </si>
  <si>
    <t>Chinon Parçay Blou Brain</t>
  </si>
  <si>
    <t>Chinon Avrillé Langeais Huismes</t>
  </si>
  <si>
    <t>Avoine Continvoir Avrillé Langeais</t>
  </si>
  <si>
    <t>Chinon Couziers St Léger Tourtenay</t>
  </si>
  <si>
    <t>Avoine Ceaux Claunay Basses Bournand</t>
  </si>
  <si>
    <t xml:space="preserve">Avoine </t>
  </si>
  <si>
    <t>Avec LOUIS</t>
  </si>
  <si>
    <t>Chinon Couziers St Léger Ranton</t>
  </si>
  <si>
    <t>Avoine Bréhémont Panzoult Chinon</t>
  </si>
  <si>
    <t>Avoine Bréhémont Ruchard Azay Rigny</t>
  </si>
  <si>
    <t>Avoine les Loges les Essards Ingrandes</t>
  </si>
  <si>
    <t>Avoine Ingrandes Les Essards Brain</t>
  </si>
  <si>
    <t>Avoine Ingrandes Les Essards Bourgueil</t>
  </si>
  <si>
    <t>Avoine Essai S1NEO</t>
  </si>
  <si>
    <t>Avoine les Essarts Continvoir les Loges</t>
  </si>
  <si>
    <t>Avoine Couziers Chacé montreuil</t>
  </si>
  <si>
    <t>Avoine Couziers Roiffé Glénouze basses</t>
  </si>
  <si>
    <t>Avoine Eppennes Messemé Ceaux</t>
  </si>
  <si>
    <t>Avoine Bourgueil les loges Brain</t>
  </si>
  <si>
    <t>2° sortie S1NEO</t>
  </si>
  <si>
    <t>1° sortie S1NEO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</si>
</sst>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0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0" fillId="0" borderId="1" xfId="0" applyFill="1" applyBorder="1"/>
    <xf numFmtId="14" fontId="0" fillId="0" borderId="1" xfId="0" applyNumberFormat="1" applyFill="1" applyBorder="1"/>
    <xf numFmtId="0" fontId="0" fillId="0" borderId="2" xfId="0" applyFill="1" applyBorder="1"/>
    <xf numFmtId="0" fontId="0" fillId="0" borderId="1" xfId="0" applyNumberFormat="1" applyFill="1" applyBorder="1"/>
    <xf numFmtId="164" fontId="0" fillId="0" borderId="1" xfId="0" applyNumberFormat="1" applyFill="1" applyBorder="1"/>
    <xf numFmtId="14" fontId="0" fillId="0" borderId="2" xfId="0" applyNumberFormat="1" applyFill="1" applyBorder="1"/>
    <xf numFmtId="0" fontId="0" fillId="0" borderId="2" xfId="0" applyNumberFormat="1" applyFill="1" applyBorder="1"/>
    <xf numFmtId="164" fontId="0" fillId="0" borderId="2" xfId="0" applyNumberFormat="1" applyFill="1" applyBorder="1"/>
    <xf numFmtId="16" fontId="0" fillId="0" borderId="0" xfId="0" applyNumberFormat="1"/>
    <xf numFmtId="0" fontId="0" fillId="0" borderId="0" xfId="0" applyFill="1"/>
    <xf numFmtId="0" fontId="2" fillId="0" borderId="6" xfId="0" applyFont="1" applyBorder="1"/>
    <xf numFmtId="0" fontId="0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NumberFormat="1" applyFill="1"/>
    <xf numFmtId="0" fontId="1" fillId="0" borderId="7" xfId="0" applyFont="1" applyBorder="1" applyAlignment="1"/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 applyBorder="1"/>
    <xf numFmtId="0" fontId="0" fillId="0" borderId="0" xfId="0" applyBorder="1"/>
    <xf numFmtId="0" fontId="0" fillId="0" borderId="0" xfId="0" applyNumberFormat="1" applyBorder="1"/>
    <xf numFmtId="164" fontId="0" fillId="0" borderId="0" xfId="0" applyNumberFormat="1" applyBorder="1"/>
    <xf numFmtId="16" fontId="0" fillId="0" borderId="1" xfId="0" applyNumberFormat="1" applyBorder="1"/>
    <xf numFmtId="0" fontId="4" fillId="2" borderId="0" xfId="0" applyFont="1" applyFill="1"/>
    <xf numFmtId="0" fontId="0" fillId="0" borderId="9" xfId="0" applyNumberFormat="1" applyFill="1" applyBorder="1"/>
    <xf numFmtId="14" fontId="5" fillId="0" borderId="1" xfId="0" applyNumberFormat="1" applyFont="1" applyFill="1" applyBorder="1"/>
    <xf numFmtId="0" fontId="5" fillId="0" borderId="2" xfId="0" applyFont="1" applyFill="1" applyBorder="1"/>
    <xf numFmtId="0" fontId="5" fillId="0" borderId="1" xfId="0" applyFont="1" applyFill="1" applyBorder="1"/>
    <xf numFmtId="0" fontId="5" fillId="0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Fill="1" applyBorder="1"/>
    <xf numFmtId="164" fontId="5" fillId="0" borderId="2" xfId="0" applyNumberFormat="1" applyFont="1" applyBorder="1"/>
    <xf numFmtId="0" fontId="5" fillId="0" borderId="0" xfId="0" applyFont="1"/>
    <xf numFmtId="164" fontId="5" fillId="0" borderId="1" xfId="0" applyNumberFormat="1" applyFont="1" applyBorder="1"/>
    <xf numFmtId="0" fontId="0" fillId="0" borderId="9" xfId="0" applyFill="1" applyBorder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1" xfId="0" applyNumberFormat="1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1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" xfId="0" applyNumberFormat="1" applyFill="1" applyBorder="1"/>
    <xf numFmtId="164" fontId="0" fillId="3" borderId="1" xfId="0" applyNumberFormat="1" applyFill="1" applyBorder="1"/>
    <xf numFmtId="0" fontId="5" fillId="2" borderId="1" xfId="0" applyFont="1" applyFill="1" applyBorder="1"/>
    <xf numFmtId="0" fontId="0" fillId="0" borderId="1" xfId="0" applyFont="1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1" xfId="0" applyNumberFormat="1" applyFill="1" applyBorder="1"/>
    <xf numFmtId="164" fontId="0" fillId="4" borderId="1" xfId="0" applyNumberFormat="1" applyFill="1" applyBorder="1"/>
    <xf numFmtId="0" fontId="2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K29" sqref="K29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8" width="11.5703125" style="2" bestFit="1" customWidth="1"/>
    <col min="9" max="9" width="11.5703125" style="2" customWidth="1"/>
    <col min="10" max="11" width="18.5703125" customWidth="1"/>
  </cols>
  <sheetData>
    <row r="1" spans="1:11" ht="27" thickBot="1" x14ac:dyDescent="0.45">
      <c r="A1" s="71" t="s">
        <v>7</v>
      </c>
      <c r="B1" s="71"/>
      <c r="C1" s="71"/>
      <c r="D1" s="71"/>
      <c r="E1" s="71"/>
      <c r="F1" s="71"/>
      <c r="G1" s="71"/>
      <c r="H1" s="30">
        <v>2020</v>
      </c>
      <c r="I1" s="31"/>
      <c r="J1" s="29"/>
    </row>
    <row r="2" spans="1:11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1" x14ac:dyDescent="0.25">
      <c r="A3" s="20">
        <v>43833</v>
      </c>
      <c r="B3" s="17" t="s">
        <v>20</v>
      </c>
      <c r="C3" s="8">
        <v>1</v>
      </c>
      <c r="D3" s="17">
        <v>77</v>
      </c>
      <c r="E3" s="21">
        <v>3</v>
      </c>
      <c r="F3" s="21">
        <v>11</v>
      </c>
      <c r="G3" s="8">
        <f>SUM(E3*60+F3)</f>
        <v>191</v>
      </c>
      <c r="H3" s="10">
        <f>SUM(D3/G3*60)</f>
        <v>24.188481675392669</v>
      </c>
      <c r="I3" s="10">
        <v>319</v>
      </c>
      <c r="J3" s="17"/>
    </row>
    <row r="4" spans="1:11" x14ac:dyDescent="0.25">
      <c r="A4" s="16">
        <v>43834</v>
      </c>
      <c r="B4" s="15" t="s">
        <v>21</v>
      </c>
      <c r="C4" s="8">
        <v>2</v>
      </c>
      <c r="D4" s="15">
        <v>70</v>
      </c>
      <c r="E4" s="18">
        <v>2</v>
      </c>
      <c r="F4" s="18">
        <v>40</v>
      </c>
      <c r="G4" s="3">
        <f t="shared" ref="G4:G23" si="0">SUM(E4*60+F4)</f>
        <v>160</v>
      </c>
      <c r="H4" s="4">
        <f t="shared" ref="H4:H23" si="1">SUM(D4/G4*60)</f>
        <v>26.25</v>
      </c>
      <c r="I4" s="10">
        <v>208</v>
      </c>
      <c r="J4" s="17"/>
    </row>
    <row r="5" spans="1:11" x14ac:dyDescent="0.25">
      <c r="A5" s="5">
        <v>43837</v>
      </c>
      <c r="B5" s="3" t="s">
        <v>22</v>
      </c>
      <c r="C5" s="8">
        <v>3</v>
      </c>
      <c r="D5" s="3">
        <v>85</v>
      </c>
      <c r="E5" s="6">
        <v>3</v>
      </c>
      <c r="F5" s="6">
        <v>22</v>
      </c>
      <c r="G5" s="3">
        <f t="shared" si="0"/>
        <v>202</v>
      </c>
      <c r="H5" s="4">
        <f t="shared" si="1"/>
        <v>25.247524752475247</v>
      </c>
      <c r="I5" s="19">
        <v>326</v>
      </c>
      <c r="J5" s="38"/>
    </row>
    <row r="6" spans="1:11" x14ac:dyDescent="0.25">
      <c r="A6" s="5">
        <v>43839</v>
      </c>
      <c r="B6" s="3" t="s">
        <v>23</v>
      </c>
      <c r="C6" s="8">
        <v>4</v>
      </c>
      <c r="D6" s="3">
        <v>72</v>
      </c>
      <c r="E6" s="6">
        <v>3</v>
      </c>
      <c r="F6" s="6">
        <v>0</v>
      </c>
      <c r="G6" s="3">
        <f t="shared" si="0"/>
        <v>180</v>
      </c>
      <c r="H6" s="4">
        <f t="shared" si="1"/>
        <v>24</v>
      </c>
      <c r="I6" s="19">
        <v>220</v>
      </c>
      <c r="J6" s="8"/>
    </row>
    <row r="7" spans="1:11" x14ac:dyDescent="0.25">
      <c r="A7" s="5">
        <v>43841</v>
      </c>
      <c r="B7" s="3" t="s">
        <v>24</v>
      </c>
      <c r="C7" s="8">
        <v>5</v>
      </c>
      <c r="D7" s="3">
        <v>70</v>
      </c>
      <c r="E7" s="6">
        <v>2</v>
      </c>
      <c r="F7" s="6">
        <v>50</v>
      </c>
      <c r="G7" s="3">
        <f t="shared" si="0"/>
        <v>170</v>
      </c>
      <c r="H7" s="4">
        <f t="shared" si="1"/>
        <v>24.705882352941174</v>
      </c>
      <c r="I7" s="19">
        <v>354</v>
      </c>
      <c r="J7" s="8"/>
    </row>
    <row r="8" spans="1:11" x14ac:dyDescent="0.25">
      <c r="A8" s="5">
        <v>43841</v>
      </c>
      <c r="B8" s="3" t="s">
        <v>25</v>
      </c>
      <c r="C8" s="8">
        <v>6</v>
      </c>
      <c r="D8" s="3">
        <v>18</v>
      </c>
      <c r="E8" s="6">
        <v>1</v>
      </c>
      <c r="F8" s="6">
        <v>6</v>
      </c>
      <c r="G8" s="3">
        <f t="shared" si="0"/>
        <v>66</v>
      </c>
      <c r="H8" s="4">
        <f t="shared" si="1"/>
        <v>16.363636363636363</v>
      </c>
      <c r="I8" s="19">
        <v>69</v>
      </c>
      <c r="J8" s="3"/>
    </row>
    <row r="9" spans="1:11" x14ac:dyDescent="0.25">
      <c r="A9" s="5">
        <v>43846</v>
      </c>
      <c r="B9" s="50" t="s">
        <v>26</v>
      </c>
      <c r="C9" s="8">
        <v>7</v>
      </c>
      <c r="D9" s="3">
        <v>95</v>
      </c>
      <c r="E9" s="6">
        <v>3</v>
      </c>
      <c r="F9" s="6">
        <v>59</v>
      </c>
      <c r="G9" s="3">
        <f t="shared" si="0"/>
        <v>239</v>
      </c>
      <c r="H9" s="4">
        <f t="shared" si="1"/>
        <v>23.849372384937237</v>
      </c>
      <c r="I9" s="19">
        <v>311</v>
      </c>
      <c r="J9" s="3"/>
      <c r="K9" s="23"/>
    </row>
    <row r="10" spans="1:11" x14ac:dyDescent="0.25">
      <c r="A10" s="5">
        <v>43848</v>
      </c>
      <c r="B10" s="3" t="s">
        <v>27</v>
      </c>
      <c r="C10" s="8">
        <v>8</v>
      </c>
      <c r="D10" s="3">
        <v>76</v>
      </c>
      <c r="E10" s="6">
        <v>3</v>
      </c>
      <c r="F10" s="6">
        <v>12</v>
      </c>
      <c r="G10" s="3">
        <f t="shared" si="0"/>
        <v>192</v>
      </c>
      <c r="H10" s="4">
        <f t="shared" si="1"/>
        <v>23.75</v>
      </c>
      <c r="I10" s="10">
        <v>305</v>
      </c>
      <c r="J10" s="3"/>
    </row>
    <row r="11" spans="1:11" x14ac:dyDescent="0.25">
      <c r="A11" s="5">
        <v>43851</v>
      </c>
      <c r="B11" s="3" t="s">
        <v>28</v>
      </c>
      <c r="C11" s="8">
        <v>9</v>
      </c>
      <c r="D11" s="3">
        <v>101</v>
      </c>
      <c r="E11" s="6">
        <v>4</v>
      </c>
      <c r="F11" s="6">
        <v>8</v>
      </c>
      <c r="G11" s="3">
        <f t="shared" si="0"/>
        <v>248</v>
      </c>
      <c r="H11" s="4">
        <f t="shared" si="1"/>
        <v>24.435483870967744</v>
      </c>
      <c r="I11" s="4">
        <v>367</v>
      </c>
      <c r="J11" s="8"/>
    </row>
    <row r="12" spans="1:11" x14ac:dyDescent="0.25">
      <c r="A12" s="5">
        <v>43853</v>
      </c>
      <c r="B12" s="3" t="s">
        <v>29</v>
      </c>
      <c r="C12" s="8">
        <v>10</v>
      </c>
      <c r="D12" s="3">
        <v>94</v>
      </c>
      <c r="E12" s="6">
        <v>3</v>
      </c>
      <c r="F12" s="6">
        <v>45</v>
      </c>
      <c r="G12" s="3">
        <f t="shared" si="0"/>
        <v>225</v>
      </c>
      <c r="H12" s="4">
        <f t="shared" si="1"/>
        <v>25.06666666666667</v>
      </c>
      <c r="I12" s="4">
        <v>252</v>
      </c>
      <c r="J12" s="3"/>
    </row>
    <row r="13" spans="1:11" x14ac:dyDescent="0.25">
      <c r="A13" s="5">
        <v>43855</v>
      </c>
      <c r="B13" s="3" t="s">
        <v>30</v>
      </c>
      <c r="C13" s="8">
        <v>11</v>
      </c>
      <c r="D13" s="3">
        <v>72</v>
      </c>
      <c r="E13" s="6">
        <v>3</v>
      </c>
      <c r="F13" s="6">
        <v>0</v>
      </c>
      <c r="G13" s="3">
        <f t="shared" si="0"/>
        <v>180</v>
      </c>
      <c r="H13" s="4">
        <f t="shared" si="1"/>
        <v>24</v>
      </c>
      <c r="I13" s="4">
        <v>267</v>
      </c>
      <c r="J13" s="3"/>
    </row>
    <row r="14" spans="1:11" x14ac:dyDescent="0.25">
      <c r="A14" s="5">
        <v>43855</v>
      </c>
      <c r="B14" s="3" t="s">
        <v>25</v>
      </c>
      <c r="C14" s="8">
        <v>12</v>
      </c>
      <c r="D14" s="3">
        <v>22</v>
      </c>
      <c r="E14" s="6">
        <v>1</v>
      </c>
      <c r="F14" s="6">
        <v>17</v>
      </c>
      <c r="G14" s="3">
        <f t="shared" si="0"/>
        <v>77</v>
      </c>
      <c r="H14" s="4">
        <f t="shared" si="1"/>
        <v>17.142857142857142</v>
      </c>
      <c r="I14" s="4">
        <v>84</v>
      </c>
      <c r="J14" s="3"/>
    </row>
    <row r="15" spans="1:11" x14ac:dyDescent="0.25">
      <c r="A15" s="5">
        <v>43859</v>
      </c>
      <c r="B15" s="3" t="s">
        <v>31</v>
      </c>
      <c r="C15" s="8">
        <v>13</v>
      </c>
      <c r="D15" s="3">
        <v>90</v>
      </c>
      <c r="E15" s="6">
        <v>3</v>
      </c>
      <c r="F15" s="6">
        <v>33</v>
      </c>
      <c r="G15" s="3">
        <f t="shared" si="0"/>
        <v>213</v>
      </c>
      <c r="H15" s="4">
        <f t="shared" si="1"/>
        <v>25.352112676056336</v>
      </c>
      <c r="I15" s="4">
        <v>564</v>
      </c>
      <c r="J15" s="3"/>
    </row>
    <row r="16" spans="1:11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942</v>
      </c>
      <c r="I24" s="2">
        <f>SUM(I3:I23)</f>
        <v>3646</v>
      </c>
    </row>
    <row r="25" spans="1:10" x14ac:dyDescent="0.25">
      <c r="B25">
        <f>SUM(D24+0)</f>
        <v>942</v>
      </c>
      <c r="H25" s="2">
        <f>SUM(I24+0)</f>
        <v>3646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J17" sqref="J17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8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7">
        <v>43862</v>
      </c>
      <c r="B3" s="8" t="s">
        <v>33</v>
      </c>
      <c r="C3" s="8">
        <v>1</v>
      </c>
      <c r="D3" s="8">
        <v>69</v>
      </c>
      <c r="E3" s="9">
        <v>2</v>
      </c>
      <c r="F3" s="9">
        <v>33</v>
      </c>
      <c r="G3" s="8">
        <f>SUM(E3*60+F3)</f>
        <v>153</v>
      </c>
      <c r="H3" s="10">
        <f>SUM(D3/G3*60)</f>
        <v>27.058823529411764</v>
      </c>
      <c r="I3" s="10">
        <v>345</v>
      </c>
      <c r="J3" s="8" t="s">
        <v>32</v>
      </c>
    </row>
    <row r="4" spans="1:10" x14ac:dyDescent="0.25">
      <c r="A4" s="5">
        <v>43865</v>
      </c>
      <c r="B4" s="3" t="s">
        <v>34</v>
      </c>
      <c r="C4" s="8">
        <v>2</v>
      </c>
      <c r="D4" s="3">
        <v>97</v>
      </c>
      <c r="E4" s="6">
        <v>3</v>
      </c>
      <c r="F4" s="6">
        <v>58</v>
      </c>
      <c r="G4" s="3">
        <f t="shared" ref="G4:G23" si="0">SUM(E4*60+F4)</f>
        <v>238</v>
      </c>
      <c r="H4" s="4">
        <f t="shared" ref="H4:H23" si="1">SUM(D4/G4*60)</f>
        <v>24.45378151260504</v>
      </c>
      <c r="I4" s="10">
        <v>435</v>
      </c>
      <c r="J4" s="3"/>
    </row>
    <row r="5" spans="1:10" x14ac:dyDescent="0.25">
      <c r="A5" s="5">
        <v>43867</v>
      </c>
      <c r="B5" s="3" t="s">
        <v>35</v>
      </c>
      <c r="C5" s="8">
        <v>3</v>
      </c>
      <c r="D5" s="3">
        <v>96</v>
      </c>
      <c r="E5" s="6">
        <v>4</v>
      </c>
      <c r="F5" s="6"/>
      <c r="G5" s="3">
        <f t="shared" si="0"/>
        <v>240</v>
      </c>
      <c r="H5" s="4">
        <f t="shared" si="1"/>
        <v>24</v>
      </c>
      <c r="I5" s="19">
        <v>377</v>
      </c>
      <c r="J5" s="3"/>
    </row>
    <row r="6" spans="1:10" x14ac:dyDescent="0.25">
      <c r="A6" s="5">
        <v>43869</v>
      </c>
      <c r="B6" s="3" t="s">
        <v>40</v>
      </c>
      <c r="C6" s="8">
        <v>4</v>
      </c>
      <c r="D6" s="3">
        <v>73</v>
      </c>
      <c r="E6" s="6">
        <v>2</v>
      </c>
      <c r="F6" s="6">
        <v>57</v>
      </c>
      <c r="G6" s="3">
        <f t="shared" si="0"/>
        <v>177</v>
      </c>
      <c r="H6" s="4">
        <f t="shared" si="1"/>
        <v>24.745762711864405</v>
      </c>
      <c r="I6" s="19">
        <v>318</v>
      </c>
      <c r="J6" s="3"/>
    </row>
    <row r="7" spans="1:10" x14ac:dyDescent="0.25">
      <c r="A7" s="5">
        <v>43872</v>
      </c>
      <c r="B7" s="3" t="s">
        <v>39</v>
      </c>
      <c r="C7" s="8">
        <v>5</v>
      </c>
      <c r="D7" s="3">
        <v>93</v>
      </c>
      <c r="E7" s="6">
        <v>3</v>
      </c>
      <c r="F7" s="6">
        <v>52</v>
      </c>
      <c r="G7" s="3">
        <f t="shared" si="0"/>
        <v>232</v>
      </c>
      <c r="H7" s="4">
        <f t="shared" si="1"/>
        <v>24.051724137931036</v>
      </c>
      <c r="I7" s="19">
        <v>335</v>
      </c>
      <c r="J7" s="8" t="s">
        <v>32</v>
      </c>
    </row>
    <row r="8" spans="1:10" x14ac:dyDescent="0.25">
      <c r="A8" s="5">
        <v>43873</v>
      </c>
      <c r="B8" s="3" t="s">
        <v>36</v>
      </c>
      <c r="C8" s="8">
        <v>6</v>
      </c>
      <c r="D8" s="3">
        <v>32</v>
      </c>
      <c r="E8" s="6">
        <v>1</v>
      </c>
      <c r="F8" s="6">
        <v>41</v>
      </c>
      <c r="G8" s="3">
        <f t="shared" si="0"/>
        <v>101</v>
      </c>
      <c r="H8" s="4">
        <f t="shared" si="1"/>
        <v>19.009900990099009</v>
      </c>
      <c r="I8" s="19">
        <v>160</v>
      </c>
      <c r="J8" s="3" t="s">
        <v>37</v>
      </c>
    </row>
    <row r="9" spans="1:10" x14ac:dyDescent="0.25">
      <c r="A9" s="5">
        <v>43875</v>
      </c>
      <c r="B9" s="3" t="s">
        <v>38</v>
      </c>
      <c r="C9" s="8">
        <v>7</v>
      </c>
      <c r="D9" s="3">
        <v>87</v>
      </c>
      <c r="E9" s="6">
        <v>3</v>
      </c>
      <c r="F9" s="6">
        <v>38</v>
      </c>
      <c r="G9" s="3">
        <f t="shared" si="0"/>
        <v>218</v>
      </c>
      <c r="H9" s="4">
        <f t="shared" si="1"/>
        <v>23.944954128440365</v>
      </c>
      <c r="I9" s="19">
        <v>543</v>
      </c>
      <c r="J9" s="3"/>
    </row>
    <row r="10" spans="1:10" x14ac:dyDescent="0.25">
      <c r="A10" s="5">
        <v>43876</v>
      </c>
      <c r="B10" s="3" t="s">
        <v>42</v>
      </c>
      <c r="C10" s="8">
        <v>8</v>
      </c>
      <c r="D10" s="3">
        <v>72</v>
      </c>
      <c r="E10" s="6">
        <v>2</v>
      </c>
      <c r="F10" s="6">
        <v>53</v>
      </c>
      <c r="G10" s="3">
        <f t="shared" si="0"/>
        <v>173</v>
      </c>
      <c r="H10" s="4">
        <f t="shared" si="1"/>
        <v>24.971098265895954</v>
      </c>
      <c r="I10" s="10">
        <v>350</v>
      </c>
      <c r="J10" s="3"/>
    </row>
    <row r="11" spans="1:10" x14ac:dyDescent="0.25">
      <c r="A11" s="5">
        <v>43879</v>
      </c>
      <c r="B11" s="3" t="s">
        <v>39</v>
      </c>
      <c r="C11" s="8">
        <v>9</v>
      </c>
      <c r="D11" s="3">
        <v>90</v>
      </c>
      <c r="E11" s="6">
        <v>3</v>
      </c>
      <c r="F11" s="6">
        <v>39</v>
      </c>
      <c r="G11" s="3">
        <f t="shared" si="0"/>
        <v>219</v>
      </c>
      <c r="H11" s="4">
        <f t="shared" si="1"/>
        <v>24.657534246575342</v>
      </c>
      <c r="I11" s="4">
        <v>323</v>
      </c>
      <c r="J11" s="3"/>
    </row>
    <row r="12" spans="1:10" x14ac:dyDescent="0.25">
      <c r="A12" s="5">
        <v>43881</v>
      </c>
      <c r="B12" s="3" t="s">
        <v>41</v>
      </c>
      <c r="C12" s="8">
        <v>10</v>
      </c>
      <c r="D12" s="3">
        <v>99</v>
      </c>
      <c r="E12" s="6">
        <v>4</v>
      </c>
      <c r="F12" s="6">
        <v>2</v>
      </c>
      <c r="G12" s="3">
        <f t="shared" si="0"/>
        <v>242</v>
      </c>
      <c r="H12" s="4">
        <f t="shared" si="1"/>
        <v>24.545454545454547</v>
      </c>
      <c r="I12" s="4">
        <v>414</v>
      </c>
      <c r="J12" s="3"/>
    </row>
    <row r="13" spans="1:10" x14ac:dyDescent="0.25">
      <c r="A13" s="5">
        <v>43883</v>
      </c>
      <c r="B13" s="3" t="s">
        <v>43</v>
      </c>
      <c r="C13" s="8">
        <v>11</v>
      </c>
      <c r="D13" s="3">
        <v>70</v>
      </c>
      <c r="E13" s="6">
        <v>2</v>
      </c>
      <c r="F13" s="6">
        <v>46</v>
      </c>
      <c r="G13" s="3">
        <f t="shared" si="0"/>
        <v>166</v>
      </c>
      <c r="H13" s="4">
        <f t="shared" si="1"/>
        <v>25.30120481927711</v>
      </c>
      <c r="I13" s="4">
        <v>278</v>
      </c>
      <c r="J13" s="3"/>
    </row>
    <row r="14" spans="1:10" x14ac:dyDescent="0.25">
      <c r="A14" s="5">
        <v>43883</v>
      </c>
      <c r="B14" s="3" t="s">
        <v>44</v>
      </c>
      <c r="C14" s="8">
        <v>12</v>
      </c>
      <c r="D14" s="3">
        <v>24</v>
      </c>
      <c r="E14" s="6">
        <v>1</v>
      </c>
      <c r="F14" s="6">
        <v>30</v>
      </c>
      <c r="G14" s="3">
        <f t="shared" si="0"/>
        <v>90</v>
      </c>
      <c r="H14" s="4">
        <f t="shared" si="1"/>
        <v>16</v>
      </c>
      <c r="I14" s="4">
        <v>111</v>
      </c>
      <c r="J14" s="3"/>
    </row>
    <row r="15" spans="1:10" x14ac:dyDescent="0.25">
      <c r="A15" s="5">
        <v>43890</v>
      </c>
      <c r="B15" s="3" t="s">
        <v>45</v>
      </c>
      <c r="C15" s="8">
        <v>13</v>
      </c>
      <c r="D15" s="3">
        <v>76</v>
      </c>
      <c r="E15" s="6">
        <v>3</v>
      </c>
      <c r="F15" s="6">
        <v>8</v>
      </c>
      <c r="G15" s="3">
        <f t="shared" si="0"/>
        <v>188</v>
      </c>
      <c r="H15" s="4">
        <f t="shared" si="1"/>
        <v>24.25531914893617</v>
      </c>
      <c r="I15" s="4">
        <v>346</v>
      </c>
      <c r="J15" s="3"/>
    </row>
    <row r="16" spans="1:10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978</v>
      </c>
      <c r="I24" s="2">
        <f>SUM(I3:I23)</f>
        <v>4335</v>
      </c>
    </row>
    <row r="25" spans="1:10" x14ac:dyDescent="0.25">
      <c r="B25">
        <f>SUM(Janv!B25+Fév!D24)</f>
        <v>1920</v>
      </c>
      <c r="H25" s="2">
        <f>SUM(Janv!H25+Fév!I24)</f>
        <v>7981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>
      <selection activeCell="J7" sqref="J7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9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7">
        <v>43891</v>
      </c>
      <c r="B3" s="8" t="s">
        <v>46</v>
      </c>
      <c r="C3" s="8">
        <v>1</v>
      </c>
      <c r="D3" s="8">
        <v>32</v>
      </c>
      <c r="E3" s="9">
        <v>1</v>
      </c>
      <c r="F3" s="9">
        <v>38</v>
      </c>
      <c r="G3" s="8">
        <f>SUM(E3*60+F3)</f>
        <v>98</v>
      </c>
      <c r="H3" s="10">
        <f>SUM(D3/G3*60)</f>
        <v>19.591836734693874</v>
      </c>
      <c r="I3" s="10">
        <v>134</v>
      </c>
      <c r="J3" s="8" t="s">
        <v>47</v>
      </c>
    </row>
    <row r="4" spans="1:10" x14ac:dyDescent="0.25">
      <c r="A4" s="5">
        <v>43897</v>
      </c>
      <c r="B4" s="3" t="s">
        <v>48</v>
      </c>
      <c r="C4" s="8">
        <v>2</v>
      </c>
      <c r="D4" s="3">
        <v>75</v>
      </c>
      <c r="E4" s="6">
        <v>3</v>
      </c>
      <c r="F4" s="6">
        <v>7</v>
      </c>
      <c r="G4" s="3">
        <f t="shared" ref="G4:G23" si="0">SUM(E4*60+F4)</f>
        <v>187</v>
      </c>
      <c r="H4" s="4">
        <f t="shared" ref="H4:H23" si="1">SUM(D4/G4*60)</f>
        <v>24.064171122994651</v>
      </c>
      <c r="I4" s="10">
        <v>331</v>
      </c>
      <c r="J4" s="3"/>
    </row>
    <row r="5" spans="1:10" x14ac:dyDescent="0.25">
      <c r="A5" s="5">
        <v>43900</v>
      </c>
      <c r="B5" s="3" t="s">
        <v>49</v>
      </c>
      <c r="C5" s="8">
        <v>3</v>
      </c>
      <c r="D5" s="3">
        <v>120</v>
      </c>
      <c r="E5" s="6">
        <v>4</v>
      </c>
      <c r="F5" s="6">
        <v>41</v>
      </c>
      <c r="G5" s="3">
        <f t="shared" si="0"/>
        <v>281</v>
      </c>
      <c r="H5" s="4">
        <f t="shared" si="1"/>
        <v>25.622775800711743</v>
      </c>
      <c r="I5" s="19">
        <v>537</v>
      </c>
      <c r="J5" s="3"/>
    </row>
    <row r="6" spans="1:10" x14ac:dyDescent="0.25">
      <c r="A6" s="5">
        <v>43904</v>
      </c>
      <c r="B6" s="3" t="s">
        <v>50</v>
      </c>
      <c r="C6" s="8">
        <v>4</v>
      </c>
      <c r="D6" s="3">
        <v>37</v>
      </c>
      <c r="E6" s="6">
        <v>1</v>
      </c>
      <c r="F6" s="6">
        <v>35</v>
      </c>
      <c r="G6" s="3">
        <f t="shared" si="0"/>
        <v>95</v>
      </c>
      <c r="H6" s="4">
        <f t="shared" si="1"/>
        <v>23.368421052631579</v>
      </c>
      <c r="I6" s="19">
        <v>178</v>
      </c>
      <c r="J6" s="3"/>
    </row>
    <row r="7" spans="1:10" x14ac:dyDescent="0.25">
      <c r="A7" s="5"/>
      <c r="B7" s="3"/>
      <c r="C7" s="8">
        <v>5</v>
      </c>
      <c r="D7" s="3"/>
      <c r="E7" s="6"/>
      <c r="F7" s="6"/>
      <c r="G7" s="3">
        <f t="shared" si="0"/>
        <v>0</v>
      </c>
      <c r="H7" s="4" t="e">
        <f t="shared" si="1"/>
        <v>#DIV/0!</v>
      </c>
      <c r="I7" s="19"/>
      <c r="J7" s="3"/>
    </row>
    <row r="8" spans="1:10" x14ac:dyDescent="0.25">
      <c r="A8" s="5"/>
      <c r="B8" s="3"/>
      <c r="C8" s="8">
        <v>6</v>
      </c>
      <c r="D8" s="3"/>
      <c r="E8" s="6"/>
      <c r="F8" s="6"/>
      <c r="G8" s="3">
        <f t="shared" si="0"/>
        <v>0</v>
      </c>
      <c r="H8" s="4" t="e">
        <f t="shared" si="1"/>
        <v>#DIV/0!</v>
      </c>
      <c r="I8" s="19"/>
      <c r="J8" s="3"/>
    </row>
    <row r="9" spans="1:10" x14ac:dyDescent="0.25">
      <c r="A9" s="5"/>
      <c r="B9" s="3"/>
      <c r="C9" s="8">
        <v>7</v>
      </c>
      <c r="D9" s="3"/>
      <c r="E9" s="6"/>
      <c r="F9" s="6"/>
      <c r="G9" s="3">
        <f t="shared" si="0"/>
        <v>0</v>
      </c>
      <c r="H9" s="4" t="e">
        <f t="shared" si="1"/>
        <v>#DIV/0!</v>
      </c>
      <c r="I9" s="19"/>
      <c r="J9" s="3"/>
    </row>
    <row r="10" spans="1:10" x14ac:dyDescent="0.25">
      <c r="A10" s="5"/>
      <c r="B10" s="3"/>
      <c r="C10" s="8">
        <v>8</v>
      </c>
      <c r="D10" s="3"/>
      <c r="E10" s="6"/>
      <c r="F10" s="6"/>
      <c r="G10" s="3">
        <f t="shared" si="0"/>
        <v>0</v>
      </c>
      <c r="H10" s="4" t="e">
        <f t="shared" si="1"/>
        <v>#DIV/0!</v>
      </c>
      <c r="I10" s="10"/>
      <c r="J10" s="3"/>
    </row>
    <row r="11" spans="1:10" x14ac:dyDescent="0.25">
      <c r="A11" s="5"/>
      <c r="B11" s="3"/>
      <c r="C11" s="8">
        <v>9</v>
      </c>
      <c r="D11" s="3"/>
      <c r="E11" s="6"/>
      <c r="F11" s="6"/>
      <c r="G11" s="3">
        <f t="shared" si="0"/>
        <v>0</v>
      </c>
      <c r="H11" s="4" t="e">
        <f t="shared" si="1"/>
        <v>#DIV/0!</v>
      </c>
      <c r="I11" s="4"/>
      <c r="J11" s="3"/>
    </row>
    <row r="12" spans="1:10" x14ac:dyDescent="0.25">
      <c r="A12" s="5"/>
      <c r="B12" s="3"/>
      <c r="C12" s="8">
        <v>10</v>
      </c>
      <c r="D12" s="3"/>
      <c r="E12" s="6"/>
      <c r="F12" s="6"/>
      <c r="G12" s="3">
        <f t="shared" si="0"/>
        <v>0</v>
      </c>
      <c r="H12" s="4" t="e">
        <f t="shared" si="1"/>
        <v>#DIV/0!</v>
      </c>
      <c r="I12" s="4"/>
      <c r="J12" s="3"/>
    </row>
    <row r="13" spans="1:10" x14ac:dyDescent="0.25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0" x14ac:dyDescent="0.25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15"/>
    </row>
    <row r="15" spans="1:10" x14ac:dyDescent="0.25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17"/>
    </row>
    <row r="16" spans="1:10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15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15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15"/>
    </row>
    <row r="19" spans="1:10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264</v>
      </c>
      <c r="I24" s="2">
        <f>SUM(I3:I23)</f>
        <v>1180</v>
      </c>
    </row>
    <row r="25" spans="1:10" x14ac:dyDescent="0.25">
      <c r="B25">
        <f>SUM(Fév!B25+Mar!D24)</f>
        <v>2184</v>
      </c>
      <c r="H25" s="2">
        <f>SUM(Fév!H25+Mar!I24)</f>
        <v>9161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selection activeCell="E11" sqref="E11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10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7">
        <v>43951</v>
      </c>
      <c r="B3" s="8" t="s">
        <v>51</v>
      </c>
      <c r="C3" s="8">
        <v>1</v>
      </c>
      <c r="D3" s="8">
        <v>1000</v>
      </c>
      <c r="E3" s="9">
        <v>38</v>
      </c>
      <c r="F3" s="9"/>
      <c r="G3" s="8">
        <f>SUM(E3*60+F3)</f>
        <v>2280</v>
      </c>
      <c r="H3" s="10">
        <f>SUM(D3/G3*60)</f>
        <v>26.315789473684209</v>
      </c>
      <c r="I3" s="10"/>
      <c r="J3" s="8"/>
    </row>
    <row r="4" spans="1:10" x14ac:dyDescent="0.25">
      <c r="A4" s="5"/>
      <c r="B4" s="3"/>
      <c r="C4" s="8">
        <v>2</v>
      </c>
      <c r="D4" s="3"/>
      <c r="E4" s="6"/>
      <c r="F4" s="6"/>
      <c r="G4" s="3">
        <f t="shared" ref="G4:G23" si="0">SUM(E4*60+F4)</f>
        <v>0</v>
      </c>
      <c r="H4" s="4" t="e">
        <f t="shared" ref="H4:H23" si="1">SUM(D4/G4*60)</f>
        <v>#DIV/0!</v>
      </c>
      <c r="I4" s="10"/>
      <c r="J4" s="3"/>
    </row>
    <row r="5" spans="1:10" x14ac:dyDescent="0.25">
      <c r="A5" s="5"/>
      <c r="B5" s="3"/>
      <c r="C5" s="8">
        <v>3</v>
      </c>
      <c r="D5" s="3"/>
      <c r="E5" s="6"/>
      <c r="F5" s="6"/>
      <c r="G5" s="3">
        <f t="shared" si="0"/>
        <v>0</v>
      </c>
      <c r="H5" s="4" t="e">
        <f t="shared" si="1"/>
        <v>#DIV/0!</v>
      </c>
      <c r="I5" s="19"/>
      <c r="J5" s="3"/>
    </row>
    <row r="6" spans="1:10" x14ac:dyDescent="0.25">
      <c r="A6" s="5"/>
      <c r="B6" s="3"/>
      <c r="C6" s="8">
        <v>4</v>
      </c>
      <c r="D6" s="3"/>
      <c r="E6" s="6"/>
      <c r="F6" s="6"/>
      <c r="G6" s="3">
        <f t="shared" si="0"/>
        <v>0</v>
      </c>
      <c r="H6" s="4" t="e">
        <f t="shared" si="1"/>
        <v>#DIV/0!</v>
      </c>
      <c r="I6" s="19"/>
      <c r="J6" s="3"/>
    </row>
    <row r="7" spans="1:10" x14ac:dyDescent="0.25">
      <c r="A7" s="5"/>
      <c r="B7" s="3"/>
      <c r="C7" s="8">
        <v>5</v>
      </c>
      <c r="D7" s="3"/>
      <c r="E7" s="6"/>
      <c r="F7" s="6"/>
      <c r="G7" s="3">
        <f t="shared" si="0"/>
        <v>0</v>
      </c>
      <c r="H7" s="4" t="e">
        <f t="shared" si="1"/>
        <v>#DIV/0!</v>
      </c>
      <c r="I7" s="19"/>
      <c r="J7" s="3"/>
    </row>
    <row r="8" spans="1:10" x14ac:dyDescent="0.25">
      <c r="A8" s="16"/>
      <c r="B8" s="15"/>
      <c r="C8" s="17">
        <v>6</v>
      </c>
      <c r="D8" s="15"/>
      <c r="E8" s="18"/>
      <c r="F8" s="18"/>
      <c r="G8" s="15">
        <f t="shared" si="0"/>
        <v>0</v>
      </c>
      <c r="H8" s="19" t="e">
        <f t="shared" si="1"/>
        <v>#DIV/0!</v>
      </c>
      <c r="I8" s="19"/>
      <c r="J8" s="15"/>
    </row>
    <row r="9" spans="1:10" x14ac:dyDescent="0.25">
      <c r="A9" s="16"/>
      <c r="B9" s="15"/>
      <c r="C9" s="17">
        <v>7</v>
      </c>
      <c r="D9" s="15"/>
      <c r="E9" s="18"/>
      <c r="F9" s="18"/>
      <c r="G9" s="15">
        <f t="shared" si="0"/>
        <v>0</v>
      </c>
      <c r="H9" s="19" t="e">
        <f t="shared" si="1"/>
        <v>#DIV/0!</v>
      </c>
      <c r="I9" s="19"/>
      <c r="J9" s="15"/>
    </row>
    <row r="10" spans="1:10" x14ac:dyDescent="0.25">
      <c r="A10" s="16"/>
      <c r="B10" s="15"/>
      <c r="C10" s="17">
        <v>8</v>
      </c>
      <c r="D10" s="15"/>
      <c r="E10" s="18"/>
      <c r="F10" s="18"/>
      <c r="G10" s="15">
        <f t="shared" si="0"/>
        <v>0</v>
      </c>
      <c r="H10" s="19" t="e">
        <f t="shared" si="1"/>
        <v>#DIV/0!</v>
      </c>
      <c r="I10" s="10"/>
      <c r="J10" s="15"/>
    </row>
    <row r="11" spans="1:10" x14ac:dyDescent="0.25">
      <c r="A11" s="16"/>
      <c r="B11" s="15"/>
      <c r="C11" s="17">
        <v>9</v>
      </c>
      <c r="D11" s="15"/>
      <c r="E11" s="18"/>
      <c r="F11" s="18"/>
      <c r="G11" s="15">
        <f t="shared" si="0"/>
        <v>0</v>
      </c>
      <c r="H11" s="19" t="e">
        <f t="shared" si="1"/>
        <v>#DIV/0!</v>
      </c>
      <c r="I11" s="4"/>
      <c r="J11" s="15"/>
    </row>
    <row r="12" spans="1:10" x14ac:dyDescent="0.25">
      <c r="A12" s="16"/>
      <c r="B12" s="15"/>
      <c r="C12" s="17">
        <v>10</v>
      </c>
      <c r="D12" s="15"/>
      <c r="E12" s="18"/>
      <c r="F12" s="18"/>
      <c r="G12" s="15">
        <f t="shared" si="0"/>
        <v>0</v>
      </c>
      <c r="H12" s="19" t="e">
        <f t="shared" si="1"/>
        <v>#DIV/0!</v>
      </c>
      <c r="I12" s="4"/>
      <c r="J12" s="15"/>
    </row>
    <row r="13" spans="1:10" x14ac:dyDescent="0.25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0" x14ac:dyDescent="0.25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 x14ac:dyDescent="0.25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1000</v>
      </c>
      <c r="I24" s="2">
        <f>SUM(I3:I23)</f>
        <v>0</v>
      </c>
    </row>
    <row r="25" spans="1:10" x14ac:dyDescent="0.25">
      <c r="B25">
        <f>SUM(Mar!B25+Avr!D24)</f>
        <v>3184</v>
      </c>
      <c r="H25" s="2">
        <f>SUM(Mar!H25+Avr!I24)</f>
        <v>9161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25"/>
  <sheetViews>
    <sheetView showOutlineSymbols="0" workbookViewId="0">
      <selection activeCell="K19" sqref="K19"/>
    </sheetView>
  </sheetViews>
  <sheetFormatPr baseColWidth="10" defaultRowHeight="15" outlineLevelRow="1" outlineLevelCol="2" x14ac:dyDescent="0.25"/>
  <cols>
    <col min="2" max="2" width="34.28515625" customWidth="1"/>
    <col min="3" max="3" width="4" customWidth="1"/>
    <col min="4" max="4" width="12" customWidth="1" outlineLevel="1"/>
    <col min="5" max="5" width="5.7109375" style="1" customWidth="1" outlineLevel="2"/>
    <col min="6" max="6" width="5.85546875" customWidth="1" outlineLevel="2"/>
    <col min="7" max="7" width="5.7109375" customWidth="1" outlineLevel="1"/>
    <col min="8" max="9" width="11.42578125" style="2"/>
    <col min="10" max="10" width="18.5703125" customWidth="1"/>
  </cols>
  <sheetData>
    <row r="1" spans="1:12" ht="27" thickBot="1" x14ac:dyDescent="0.45">
      <c r="A1" s="71" t="s">
        <v>11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2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2" outlineLevel="1" x14ac:dyDescent="0.25">
      <c r="A3" s="7">
        <v>43967</v>
      </c>
      <c r="B3" s="8" t="s">
        <v>52</v>
      </c>
      <c r="C3" s="8">
        <v>1</v>
      </c>
      <c r="D3" s="8">
        <v>78</v>
      </c>
      <c r="E3" s="9">
        <v>2</v>
      </c>
      <c r="F3" s="9">
        <v>52</v>
      </c>
      <c r="G3" s="8">
        <f>SUM(E3*60+F3)</f>
        <v>172</v>
      </c>
      <c r="H3" s="10">
        <f>SUM(D3/G3*60)</f>
        <v>27.209302325581394</v>
      </c>
      <c r="I3" s="10">
        <v>242</v>
      </c>
      <c r="J3" s="8"/>
    </row>
    <row r="4" spans="1:12" outlineLevel="1" x14ac:dyDescent="0.25">
      <c r="A4" s="5">
        <v>43967</v>
      </c>
      <c r="B4" s="3" t="s">
        <v>53</v>
      </c>
      <c r="C4" s="8">
        <v>2</v>
      </c>
      <c r="D4" s="3">
        <v>8</v>
      </c>
      <c r="E4" s="6"/>
      <c r="F4" s="6">
        <v>38</v>
      </c>
      <c r="G4" s="3">
        <f t="shared" ref="G4:G23" si="0">SUM(E4*60+F4)</f>
        <v>38</v>
      </c>
      <c r="H4" s="4">
        <f t="shared" ref="H4:H23" si="1">SUM(D4/G4*60)</f>
        <v>12.631578947368421</v>
      </c>
      <c r="I4" s="10"/>
      <c r="J4" s="3"/>
    </row>
    <row r="5" spans="1:12" outlineLevel="1" x14ac:dyDescent="0.25">
      <c r="A5" s="16">
        <v>43969</v>
      </c>
      <c r="B5" t="s">
        <v>54</v>
      </c>
      <c r="C5" s="17">
        <v>3</v>
      </c>
      <c r="D5" s="15">
        <v>16</v>
      </c>
      <c r="E5" s="18">
        <v>1</v>
      </c>
      <c r="F5" s="18">
        <v>10</v>
      </c>
      <c r="G5" s="15">
        <f t="shared" si="0"/>
        <v>70</v>
      </c>
      <c r="H5" s="19">
        <f t="shared" si="1"/>
        <v>13.714285714285714</v>
      </c>
      <c r="I5" s="19">
        <v>44</v>
      </c>
      <c r="J5" s="15"/>
    </row>
    <row r="6" spans="1:12" outlineLevel="1" x14ac:dyDescent="0.25">
      <c r="A6" s="16">
        <v>43970</v>
      </c>
      <c r="B6" s="15" t="s">
        <v>53</v>
      </c>
      <c r="C6" s="17">
        <v>4</v>
      </c>
      <c r="D6" s="15">
        <v>9</v>
      </c>
      <c r="E6" s="18">
        <v>0</v>
      </c>
      <c r="F6" s="18">
        <v>51</v>
      </c>
      <c r="G6" s="15">
        <f t="shared" si="0"/>
        <v>51</v>
      </c>
      <c r="H6" s="19">
        <f t="shared" si="1"/>
        <v>10.588235294117649</v>
      </c>
      <c r="I6" s="19">
        <v>19</v>
      </c>
      <c r="J6" s="15"/>
    </row>
    <row r="7" spans="1:12" outlineLevel="1" x14ac:dyDescent="0.25">
      <c r="A7" s="16">
        <v>43971</v>
      </c>
      <c r="B7" s="15" t="s">
        <v>55</v>
      </c>
      <c r="C7" s="17">
        <v>5</v>
      </c>
      <c r="D7" s="15">
        <v>100</v>
      </c>
      <c r="E7" s="18">
        <v>3</v>
      </c>
      <c r="F7" s="18">
        <v>49</v>
      </c>
      <c r="G7" s="15">
        <f t="shared" si="0"/>
        <v>229</v>
      </c>
      <c r="H7" s="19">
        <f t="shared" si="1"/>
        <v>26.200873362445417</v>
      </c>
      <c r="I7" s="19">
        <v>340</v>
      </c>
      <c r="J7" s="15"/>
    </row>
    <row r="8" spans="1:12" outlineLevel="1" x14ac:dyDescent="0.25">
      <c r="A8" s="16">
        <v>43972</v>
      </c>
      <c r="B8" s="15" t="s">
        <v>56</v>
      </c>
      <c r="C8" s="17">
        <v>6</v>
      </c>
      <c r="D8" s="15">
        <v>6</v>
      </c>
      <c r="E8" s="18"/>
      <c r="F8" s="18">
        <v>37</v>
      </c>
      <c r="G8" s="15">
        <f t="shared" si="0"/>
        <v>37</v>
      </c>
      <c r="H8" s="19">
        <f t="shared" si="1"/>
        <v>9.7297297297297298</v>
      </c>
      <c r="I8" s="19">
        <v>7</v>
      </c>
      <c r="J8" s="15"/>
    </row>
    <row r="9" spans="1:12" outlineLevel="1" x14ac:dyDescent="0.25">
      <c r="A9" s="16">
        <v>43974</v>
      </c>
      <c r="B9" s="15" t="s">
        <v>57</v>
      </c>
      <c r="C9" s="17">
        <v>7</v>
      </c>
      <c r="D9" s="15">
        <v>105</v>
      </c>
      <c r="E9" s="18">
        <v>3</v>
      </c>
      <c r="F9" s="18">
        <v>45</v>
      </c>
      <c r="G9" s="15">
        <f t="shared" si="0"/>
        <v>225</v>
      </c>
      <c r="H9" s="19">
        <f t="shared" si="1"/>
        <v>28</v>
      </c>
      <c r="I9" s="19">
        <v>564</v>
      </c>
      <c r="J9" s="15"/>
      <c r="L9" s="23"/>
    </row>
    <row r="10" spans="1:12" outlineLevel="1" x14ac:dyDescent="0.25">
      <c r="A10" s="16">
        <v>43976</v>
      </c>
      <c r="B10" s="15" t="s">
        <v>54</v>
      </c>
      <c r="C10" s="17">
        <v>8</v>
      </c>
      <c r="D10" s="15">
        <v>26</v>
      </c>
      <c r="E10" s="18">
        <v>1</v>
      </c>
      <c r="F10" s="18">
        <v>32</v>
      </c>
      <c r="G10" s="15">
        <f t="shared" si="0"/>
        <v>92</v>
      </c>
      <c r="H10" s="19">
        <f t="shared" si="1"/>
        <v>16.956521739130434</v>
      </c>
      <c r="I10" s="10">
        <v>32</v>
      </c>
      <c r="J10" s="15"/>
    </row>
    <row r="11" spans="1:12" outlineLevel="1" x14ac:dyDescent="0.25">
      <c r="A11" s="16">
        <v>43977</v>
      </c>
      <c r="B11" s="15" t="s">
        <v>58</v>
      </c>
      <c r="C11" s="17">
        <v>9</v>
      </c>
      <c r="D11" s="15">
        <v>100</v>
      </c>
      <c r="E11" s="18">
        <v>3</v>
      </c>
      <c r="F11" s="18">
        <v>47</v>
      </c>
      <c r="G11" s="15">
        <f t="shared" si="0"/>
        <v>227</v>
      </c>
      <c r="H11" s="19">
        <f t="shared" si="1"/>
        <v>26.431718061674008</v>
      </c>
      <c r="I11" s="4">
        <v>303</v>
      </c>
      <c r="J11" s="15"/>
    </row>
    <row r="12" spans="1:12" outlineLevel="1" x14ac:dyDescent="0.25">
      <c r="A12" s="16">
        <v>43981</v>
      </c>
      <c r="B12" s="8" t="s">
        <v>59</v>
      </c>
      <c r="C12" s="17">
        <v>10</v>
      </c>
      <c r="D12" s="15">
        <v>90</v>
      </c>
      <c r="E12" s="18">
        <v>3</v>
      </c>
      <c r="F12" s="18">
        <v>25</v>
      </c>
      <c r="G12" s="15">
        <f t="shared" si="0"/>
        <v>205</v>
      </c>
      <c r="H12" s="19">
        <f t="shared" si="1"/>
        <v>26.341463414634145</v>
      </c>
      <c r="I12" s="4">
        <v>324</v>
      </c>
      <c r="J12" s="15"/>
    </row>
    <row r="13" spans="1:12" outlineLevel="1" x14ac:dyDescent="0.25">
      <c r="A13" s="5">
        <v>43981</v>
      </c>
      <c r="B13" s="3" t="s">
        <v>60</v>
      </c>
      <c r="C13" s="8">
        <v>11</v>
      </c>
      <c r="D13" s="3">
        <v>6</v>
      </c>
      <c r="E13" s="6">
        <v>0</v>
      </c>
      <c r="F13" s="6">
        <v>32</v>
      </c>
      <c r="G13" s="3">
        <f t="shared" si="0"/>
        <v>32</v>
      </c>
      <c r="H13" s="4">
        <f t="shared" si="1"/>
        <v>11.25</v>
      </c>
      <c r="I13" s="4">
        <v>8</v>
      </c>
      <c r="J13" s="15"/>
    </row>
    <row r="14" spans="1:12" outlineLevel="1" x14ac:dyDescent="0.25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15"/>
    </row>
    <row r="15" spans="1:12" outlineLevel="1" x14ac:dyDescent="0.25">
      <c r="A15" s="16"/>
      <c r="B15" s="15"/>
      <c r="C15" s="17">
        <v>13</v>
      </c>
      <c r="D15" s="15"/>
      <c r="E15" s="18"/>
      <c r="F15" s="18"/>
      <c r="G15" s="15">
        <f t="shared" si="0"/>
        <v>0</v>
      </c>
      <c r="H15" s="19" t="e">
        <f t="shared" si="1"/>
        <v>#DIV/0!</v>
      </c>
      <c r="I15" s="4"/>
      <c r="J15" s="15"/>
    </row>
    <row r="16" spans="1:12" outlineLevel="1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15"/>
    </row>
    <row r="17" spans="1:10" outlineLevel="1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15"/>
    </row>
    <row r="18" spans="1:10" outlineLevel="1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outlineLevel="1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outlineLevel="1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outlineLevel="1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outlineLevel="1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outlineLevel="1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544</v>
      </c>
      <c r="I24" s="2">
        <f>SUM(I3:I23)</f>
        <v>1883</v>
      </c>
    </row>
    <row r="25" spans="1:10" x14ac:dyDescent="0.25">
      <c r="B25">
        <f>SUM(Avr!B25+Mai!D24)</f>
        <v>3728</v>
      </c>
      <c r="H25" s="2">
        <f>SUM(Avr!H25+Mai!I24)</f>
        <v>11044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5"/>
  <sheetViews>
    <sheetView workbookViewId="0">
      <selection activeCell="D24" sqref="D24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12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7">
        <v>43985</v>
      </c>
      <c r="B3" s="8" t="s">
        <v>61</v>
      </c>
      <c r="C3" s="8">
        <v>1</v>
      </c>
      <c r="D3" s="8">
        <v>90</v>
      </c>
      <c r="E3" s="9">
        <v>3</v>
      </c>
      <c r="F3" s="9">
        <v>28</v>
      </c>
      <c r="G3" s="8">
        <f>SUM(E3*60+F3)</f>
        <v>208</v>
      </c>
      <c r="H3" s="10">
        <f>SUM(D3/G3*60)</f>
        <v>25.961538461538463</v>
      </c>
      <c r="I3" s="10">
        <v>297</v>
      </c>
      <c r="J3" s="15"/>
    </row>
    <row r="4" spans="1:10" x14ac:dyDescent="0.25">
      <c r="A4" s="5">
        <v>43986</v>
      </c>
      <c r="B4" s="3" t="s">
        <v>62</v>
      </c>
      <c r="C4" s="8">
        <v>2</v>
      </c>
      <c r="D4" s="3">
        <v>25</v>
      </c>
      <c r="E4" s="6">
        <v>1</v>
      </c>
      <c r="F4" s="6"/>
      <c r="G4" s="8">
        <f t="shared" ref="G4:G20" si="0">SUM(E4*60+F4)</f>
        <v>60</v>
      </c>
      <c r="H4" s="4">
        <f t="shared" ref="H4:H23" si="1">SUM(D4/G4*60)</f>
        <v>25</v>
      </c>
      <c r="I4" s="10">
        <v>30</v>
      </c>
      <c r="J4" s="15"/>
    </row>
    <row r="5" spans="1:10" x14ac:dyDescent="0.25">
      <c r="A5" s="5">
        <v>43988</v>
      </c>
      <c r="B5" s="3" t="s">
        <v>63</v>
      </c>
      <c r="C5" s="8">
        <v>3</v>
      </c>
      <c r="D5" s="3">
        <v>102</v>
      </c>
      <c r="E5" s="6">
        <v>3</v>
      </c>
      <c r="F5" s="6">
        <v>50</v>
      </c>
      <c r="G5" s="8">
        <f t="shared" si="0"/>
        <v>230</v>
      </c>
      <c r="H5" s="4">
        <f t="shared" si="1"/>
        <v>26.608695652173914</v>
      </c>
      <c r="I5" s="19">
        <v>353</v>
      </c>
      <c r="J5" s="15"/>
    </row>
    <row r="6" spans="1:10" x14ac:dyDescent="0.25">
      <c r="A6" s="16">
        <v>43990</v>
      </c>
      <c r="B6" s="15" t="s">
        <v>64</v>
      </c>
      <c r="C6" s="17">
        <v>4</v>
      </c>
      <c r="D6" s="15">
        <v>97</v>
      </c>
      <c r="E6" s="18">
        <v>3</v>
      </c>
      <c r="F6" s="18">
        <v>35</v>
      </c>
      <c r="G6" s="8">
        <f t="shared" si="0"/>
        <v>215</v>
      </c>
      <c r="H6" s="19">
        <f t="shared" si="1"/>
        <v>27.069767441860463</v>
      </c>
      <c r="I6" s="19">
        <v>373</v>
      </c>
      <c r="J6" s="15"/>
    </row>
    <row r="7" spans="1:10" x14ac:dyDescent="0.25">
      <c r="A7" s="16">
        <v>43992</v>
      </c>
      <c r="B7" s="15" t="s">
        <v>65</v>
      </c>
      <c r="C7" s="17">
        <v>5</v>
      </c>
      <c r="D7" s="15">
        <v>101</v>
      </c>
      <c r="E7" s="18">
        <v>3</v>
      </c>
      <c r="F7" s="18">
        <v>49</v>
      </c>
      <c r="G7" s="8">
        <f t="shared" si="0"/>
        <v>229</v>
      </c>
      <c r="H7" s="19">
        <f t="shared" si="1"/>
        <v>26.462882096069869</v>
      </c>
      <c r="I7" s="19">
        <v>440</v>
      </c>
      <c r="J7" s="15"/>
    </row>
    <row r="8" spans="1:10" x14ac:dyDescent="0.25">
      <c r="A8" s="16">
        <v>43995</v>
      </c>
      <c r="B8" s="15" t="s">
        <v>42</v>
      </c>
      <c r="C8" s="17">
        <v>6</v>
      </c>
      <c r="D8" s="15">
        <v>81</v>
      </c>
      <c r="E8" s="18">
        <v>3</v>
      </c>
      <c r="F8" s="18">
        <v>14</v>
      </c>
      <c r="G8" s="8">
        <f t="shared" si="0"/>
        <v>194</v>
      </c>
      <c r="H8" s="19">
        <f t="shared" si="1"/>
        <v>25.051546391752577</v>
      </c>
      <c r="I8" s="19">
        <v>250</v>
      </c>
      <c r="J8" s="15"/>
    </row>
    <row r="9" spans="1:10" x14ac:dyDescent="0.25">
      <c r="A9" s="16">
        <v>44002</v>
      </c>
      <c r="B9" s="15" t="s">
        <v>66</v>
      </c>
      <c r="C9" s="17">
        <v>7</v>
      </c>
      <c r="D9" s="15">
        <v>79</v>
      </c>
      <c r="E9" s="18">
        <v>3</v>
      </c>
      <c r="F9" s="18">
        <v>20</v>
      </c>
      <c r="G9" s="8">
        <f t="shared" si="0"/>
        <v>200</v>
      </c>
      <c r="H9" s="19">
        <f t="shared" si="1"/>
        <v>23.700000000000003</v>
      </c>
      <c r="I9" s="19">
        <v>338</v>
      </c>
      <c r="J9" s="15"/>
    </row>
    <row r="10" spans="1:10" x14ac:dyDescent="0.25">
      <c r="A10" s="16">
        <v>44004</v>
      </c>
      <c r="B10" s="15" t="s">
        <v>67</v>
      </c>
      <c r="C10" s="17">
        <v>8</v>
      </c>
      <c r="D10" s="15">
        <v>85</v>
      </c>
      <c r="E10" s="18">
        <v>3</v>
      </c>
      <c r="F10" s="18">
        <v>18</v>
      </c>
      <c r="G10" s="8">
        <f t="shared" si="0"/>
        <v>198</v>
      </c>
      <c r="H10" s="19">
        <f t="shared" si="1"/>
        <v>25.757575757575758</v>
      </c>
      <c r="I10" s="10">
        <v>310</v>
      </c>
      <c r="J10" s="15"/>
    </row>
    <row r="11" spans="1:10" x14ac:dyDescent="0.25">
      <c r="A11" s="16">
        <v>44005</v>
      </c>
      <c r="B11" s="15" t="s">
        <v>68</v>
      </c>
      <c r="C11" s="17">
        <v>9</v>
      </c>
      <c r="D11" s="15">
        <v>88</v>
      </c>
      <c r="E11" s="18">
        <v>3</v>
      </c>
      <c r="F11" s="18">
        <v>16</v>
      </c>
      <c r="G11" s="8">
        <f t="shared" si="0"/>
        <v>196</v>
      </c>
      <c r="H11" s="19">
        <f t="shared" si="1"/>
        <v>26.938775510204081</v>
      </c>
      <c r="I11" s="4">
        <v>327</v>
      </c>
      <c r="J11" s="15"/>
    </row>
    <row r="12" spans="1:10" x14ac:dyDescent="0.25">
      <c r="A12" s="16">
        <v>44007</v>
      </c>
      <c r="B12" s="15" t="s">
        <v>69</v>
      </c>
      <c r="C12" s="17">
        <v>10</v>
      </c>
      <c r="D12" s="15">
        <v>95</v>
      </c>
      <c r="E12" s="18">
        <v>3</v>
      </c>
      <c r="F12" s="18">
        <v>43</v>
      </c>
      <c r="G12" s="8">
        <f t="shared" si="0"/>
        <v>223</v>
      </c>
      <c r="H12" s="19">
        <f t="shared" si="1"/>
        <v>25.560538116591928</v>
      </c>
      <c r="I12" s="4">
        <v>414</v>
      </c>
      <c r="J12" s="15"/>
    </row>
    <row r="13" spans="1:10" x14ac:dyDescent="0.25">
      <c r="A13" s="16">
        <v>44009</v>
      </c>
      <c r="B13" s="15" t="s">
        <v>70</v>
      </c>
      <c r="C13" s="17">
        <v>11</v>
      </c>
      <c r="D13" s="15">
        <v>83</v>
      </c>
      <c r="E13" s="18">
        <v>3</v>
      </c>
      <c r="F13" s="18">
        <v>17</v>
      </c>
      <c r="G13" s="8">
        <f t="shared" si="0"/>
        <v>197</v>
      </c>
      <c r="H13" s="19">
        <f t="shared" si="1"/>
        <v>25.279187817258883</v>
      </c>
      <c r="I13" s="4">
        <v>346</v>
      </c>
      <c r="J13" s="15"/>
    </row>
    <row r="14" spans="1:10" x14ac:dyDescent="0.25">
      <c r="A14" s="16">
        <v>44009</v>
      </c>
      <c r="B14" s="16" t="s">
        <v>25</v>
      </c>
      <c r="C14" s="17">
        <v>12</v>
      </c>
      <c r="D14" s="15">
        <v>21</v>
      </c>
      <c r="E14" s="18">
        <v>1</v>
      </c>
      <c r="F14" s="18">
        <v>20</v>
      </c>
      <c r="G14" s="8">
        <f t="shared" si="0"/>
        <v>80</v>
      </c>
      <c r="H14" s="19">
        <f t="shared" si="1"/>
        <v>15.75</v>
      </c>
      <c r="I14" s="4">
        <v>54</v>
      </c>
      <c r="J14" s="15"/>
    </row>
    <row r="15" spans="1:10" x14ac:dyDescent="0.25">
      <c r="A15" s="16">
        <v>44010</v>
      </c>
      <c r="B15" s="15" t="s">
        <v>71</v>
      </c>
      <c r="C15" s="17">
        <v>13</v>
      </c>
      <c r="D15" s="15">
        <v>27</v>
      </c>
      <c r="E15" s="18">
        <v>1</v>
      </c>
      <c r="F15" s="18">
        <v>19</v>
      </c>
      <c r="G15" s="8">
        <f t="shared" si="0"/>
        <v>79</v>
      </c>
      <c r="H15" s="19">
        <f t="shared" si="1"/>
        <v>20.50632911392405</v>
      </c>
      <c r="I15" s="4">
        <v>127</v>
      </c>
      <c r="J15" s="15" t="s">
        <v>37</v>
      </c>
    </row>
    <row r="16" spans="1:10" x14ac:dyDescent="0.25">
      <c r="A16" s="16">
        <v>44012</v>
      </c>
      <c r="B16" s="15" t="s">
        <v>72</v>
      </c>
      <c r="C16" s="17">
        <v>14</v>
      </c>
      <c r="D16" s="15">
        <v>98</v>
      </c>
      <c r="E16" s="18">
        <v>3</v>
      </c>
      <c r="F16" s="18">
        <v>52</v>
      </c>
      <c r="G16" s="8">
        <f t="shared" si="0"/>
        <v>232</v>
      </c>
      <c r="H16" s="19">
        <f t="shared" si="1"/>
        <v>25.344827586206897</v>
      </c>
      <c r="I16" s="4">
        <v>400</v>
      </c>
      <c r="J16" s="15"/>
    </row>
    <row r="17" spans="1:10" x14ac:dyDescent="0.25">
      <c r="A17" s="16">
        <v>44012</v>
      </c>
      <c r="B17" s="5" t="s">
        <v>73</v>
      </c>
      <c r="C17" s="17">
        <v>15</v>
      </c>
      <c r="D17" s="15">
        <v>11</v>
      </c>
      <c r="E17" s="18">
        <v>0</v>
      </c>
      <c r="F17" s="18">
        <v>24</v>
      </c>
      <c r="G17" s="8">
        <f t="shared" si="0"/>
        <v>24</v>
      </c>
      <c r="H17" s="19">
        <f t="shared" si="1"/>
        <v>27.5</v>
      </c>
      <c r="I17" s="4">
        <v>10</v>
      </c>
      <c r="J17" s="15"/>
    </row>
    <row r="18" spans="1:10" x14ac:dyDescent="0.25">
      <c r="B18" s="15"/>
      <c r="C18" s="8">
        <v>16</v>
      </c>
      <c r="D18" s="3"/>
      <c r="E18" s="6"/>
      <c r="F18" s="6"/>
      <c r="G18" s="8">
        <f t="shared" si="0"/>
        <v>0</v>
      </c>
      <c r="H18" s="4" t="e">
        <f t="shared" si="1"/>
        <v>#DIV/0!</v>
      </c>
      <c r="I18" s="4"/>
      <c r="J18" s="38"/>
    </row>
    <row r="19" spans="1:10" x14ac:dyDescent="0.25">
      <c r="A19" s="5"/>
      <c r="B19" s="15"/>
      <c r="C19" s="8">
        <v>17</v>
      </c>
      <c r="D19" s="3"/>
      <c r="E19" s="6"/>
      <c r="F19" s="6"/>
      <c r="G19" s="8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15"/>
      <c r="C20" s="8">
        <v>18</v>
      </c>
      <c r="D20" s="3"/>
      <c r="E20" s="6"/>
      <c r="F20" s="6"/>
      <c r="G20" s="8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ref="G21:G23" si="2">SUM(E21*60+F21)</f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2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2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1083</v>
      </c>
      <c r="I24" s="2">
        <f>SUM(I3:I23)</f>
        <v>4069</v>
      </c>
    </row>
    <row r="25" spans="1:10" x14ac:dyDescent="0.25">
      <c r="B25">
        <f>SUM(Mai!B25+Juin!D24)</f>
        <v>4811</v>
      </c>
      <c r="H25" s="2">
        <f>SUM(Mai!H25+Juin!I24)</f>
        <v>15113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8"/>
  <sheetViews>
    <sheetView topLeftCell="A4" workbookViewId="0">
      <selection activeCell="I31" sqref="I31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13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20">
        <v>44014</v>
      </c>
      <c r="B3" s="17" t="s">
        <v>74</v>
      </c>
      <c r="C3" s="17">
        <v>1</v>
      </c>
      <c r="D3" s="17">
        <v>99</v>
      </c>
      <c r="E3" s="21">
        <v>3</v>
      </c>
      <c r="F3" s="21">
        <v>47</v>
      </c>
      <c r="G3" s="17">
        <f>SUM(E3*60+F3)</f>
        <v>227</v>
      </c>
      <c r="H3" s="22">
        <f>SUM(D3/G3*60)</f>
        <v>26.167400881057269</v>
      </c>
      <c r="I3" s="10">
        <v>383</v>
      </c>
      <c r="J3" s="17"/>
    </row>
    <row r="4" spans="1:10" x14ac:dyDescent="0.25">
      <c r="A4" s="16">
        <v>44016</v>
      </c>
      <c r="B4" s="15" t="s">
        <v>75</v>
      </c>
      <c r="C4" s="17">
        <v>2</v>
      </c>
      <c r="D4" s="15">
        <v>89</v>
      </c>
      <c r="E4" s="18">
        <v>3</v>
      </c>
      <c r="F4" s="18">
        <v>23</v>
      </c>
      <c r="G4" s="15">
        <f t="shared" ref="G4:G25" si="0">SUM(E4*60+F4)</f>
        <v>203</v>
      </c>
      <c r="H4" s="19">
        <f t="shared" ref="H4:H25" si="1">SUM(D4/G4*60)</f>
        <v>26.305418719211822</v>
      </c>
      <c r="I4" s="10">
        <v>303</v>
      </c>
      <c r="J4" s="15"/>
    </row>
    <row r="5" spans="1:10" x14ac:dyDescent="0.25">
      <c r="A5" s="16">
        <v>44016</v>
      </c>
      <c r="B5" s="15" t="s">
        <v>76</v>
      </c>
      <c r="C5" s="17">
        <v>3</v>
      </c>
      <c r="D5" s="15">
        <v>26</v>
      </c>
      <c r="E5" s="18">
        <v>1</v>
      </c>
      <c r="F5" s="18">
        <v>30</v>
      </c>
      <c r="G5" s="15">
        <f t="shared" si="0"/>
        <v>90</v>
      </c>
      <c r="H5" s="19">
        <f t="shared" si="1"/>
        <v>17.333333333333332</v>
      </c>
      <c r="I5" s="19">
        <v>40</v>
      </c>
      <c r="J5" s="15"/>
    </row>
    <row r="6" spans="1:10" x14ac:dyDescent="0.25">
      <c r="A6" s="16">
        <v>44017</v>
      </c>
      <c r="B6" s="15" t="s">
        <v>77</v>
      </c>
      <c r="C6" s="17">
        <v>4</v>
      </c>
      <c r="D6" s="15">
        <v>41</v>
      </c>
      <c r="E6" s="18">
        <v>2</v>
      </c>
      <c r="F6" s="18">
        <v>2</v>
      </c>
      <c r="G6" s="15">
        <f t="shared" si="0"/>
        <v>122</v>
      </c>
      <c r="H6" s="19">
        <f t="shared" si="1"/>
        <v>20.163934426229506</v>
      </c>
      <c r="I6" s="19">
        <v>133</v>
      </c>
      <c r="J6" s="15" t="s">
        <v>37</v>
      </c>
    </row>
    <row r="7" spans="1:10" x14ac:dyDescent="0.25">
      <c r="A7" s="16">
        <v>44019</v>
      </c>
      <c r="B7" s="15" t="s">
        <v>78</v>
      </c>
      <c r="C7" s="17">
        <v>5</v>
      </c>
      <c r="D7" s="15">
        <v>100</v>
      </c>
      <c r="E7" s="18">
        <v>3</v>
      </c>
      <c r="F7" s="18">
        <v>50</v>
      </c>
      <c r="G7" s="15">
        <f t="shared" si="0"/>
        <v>230</v>
      </c>
      <c r="H7" s="19">
        <f t="shared" si="1"/>
        <v>26.086956521739129</v>
      </c>
      <c r="I7" s="19">
        <v>397</v>
      </c>
      <c r="J7" s="15"/>
    </row>
    <row r="8" spans="1:10" x14ac:dyDescent="0.25">
      <c r="A8" s="16">
        <v>44021</v>
      </c>
      <c r="B8" s="15" t="s">
        <v>79</v>
      </c>
      <c r="C8" s="17">
        <v>7</v>
      </c>
      <c r="D8" s="15">
        <v>92</v>
      </c>
      <c r="E8" s="18">
        <v>3</v>
      </c>
      <c r="F8" s="18">
        <v>36</v>
      </c>
      <c r="G8" s="15">
        <f t="shared" ref="G8:G24" si="2">SUM(E8*60+F8)</f>
        <v>216</v>
      </c>
      <c r="H8" s="19">
        <f t="shared" ref="H8:H24" si="3">SUM(D8/G8*60)</f>
        <v>25.555555555555557</v>
      </c>
      <c r="I8" s="19">
        <v>331</v>
      </c>
      <c r="J8" s="15"/>
    </row>
    <row r="9" spans="1:10" x14ac:dyDescent="0.25">
      <c r="A9" s="16">
        <v>44023</v>
      </c>
      <c r="B9" s="15" t="s">
        <v>80</v>
      </c>
      <c r="C9" s="17">
        <v>8</v>
      </c>
      <c r="D9" s="15">
        <v>85</v>
      </c>
      <c r="E9" s="18">
        <v>3</v>
      </c>
      <c r="F9" s="18">
        <v>17</v>
      </c>
      <c r="G9" s="15">
        <f t="shared" si="2"/>
        <v>197</v>
      </c>
      <c r="H9" s="19">
        <f t="shared" si="3"/>
        <v>25.888324873096447</v>
      </c>
      <c r="I9" s="19">
        <v>347</v>
      </c>
      <c r="J9" s="15"/>
    </row>
    <row r="10" spans="1:10" s="57" customFormat="1" x14ac:dyDescent="0.25">
      <c r="A10" s="51">
        <v>44024</v>
      </c>
      <c r="B10" s="15" t="s">
        <v>77</v>
      </c>
      <c r="C10" s="53">
        <v>9</v>
      </c>
      <c r="D10" s="52">
        <v>42</v>
      </c>
      <c r="E10" s="54">
        <v>1</v>
      </c>
      <c r="F10" s="54">
        <v>54</v>
      </c>
      <c r="G10" s="52">
        <f t="shared" si="2"/>
        <v>114</v>
      </c>
      <c r="H10" s="55">
        <f t="shared" si="3"/>
        <v>22.105263157894736</v>
      </c>
      <c r="I10" s="56">
        <v>120</v>
      </c>
      <c r="J10" s="15" t="s">
        <v>37</v>
      </c>
    </row>
    <row r="11" spans="1:10" s="57" customFormat="1" x14ac:dyDescent="0.25">
      <c r="A11" s="58">
        <v>44027</v>
      </c>
      <c r="B11" s="59" t="s">
        <v>81</v>
      </c>
      <c r="C11" s="60">
        <v>10</v>
      </c>
      <c r="D11" s="59">
        <v>64</v>
      </c>
      <c r="E11" s="61">
        <v>4</v>
      </c>
      <c r="F11" s="61">
        <v>30</v>
      </c>
      <c r="G11" s="59">
        <f t="shared" si="2"/>
        <v>270</v>
      </c>
      <c r="H11" s="62">
        <f t="shared" si="3"/>
        <v>14.222222222222223</v>
      </c>
      <c r="I11" s="62">
        <v>321</v>
      </c>
      <c r="J11" s="59" t="s">
        <v>37</v>
      </c>
    </row>
    <row r="12" spans="1:10" s="57" customFormat="1" x14ac:dyDescent="0.25">
      <c r="A12" s="58">
        <v>44028</v>
      </c>
      <c r="B12" s="59" t="s">
        <v>82</v>
      </c>
      <c r="C12" s="60">
        <v>11</v>
      </c>
      <c r="D12" s="59">
        <v>64</v>
      </c>
      <c r="E12" s="61">
        <v>4</v>
      </c>
      <c r="F12" s="61">
        <v>39</v>
      </c>
      <c r="G12" s="59">
        <f t="shared" si="2"/>
        <v>279</v>
      </c>
      <c r="H12" s="62">
        <f t="shared" si="3"/>
        <v>13.763440860215054</v>
      </c>
      <c r="I12" s="62">
        <v>661</v>
      </c>
      <c r="J12" s="59" t="s">
        <v>37</v>
      </c>
    </row>
    <row r="13" spans="1:10" s="57" customFormat="1" x14ac:dyDescent="0.25">
      <c r="A13" s="58">
        <v>44029</v>
      </c>
      <c r="B13" s="59" t="s">
        <v>83</v>
      </c>
      <c r="C13" s="60">
        <v>12</v>
      </c>
      <c r="D13" s="59">
        <v>74</v>
      </c>
      <c r="E13" s="61">
        <v>5</v>
      </c>
      <c r="F13" s="61">
        <v>0</v>
      </c>
      <c r="G13" s="59">
        <f t="shared" si="2"/>
        <v>300</v>
      </c>
      <c r="H13" s="62">
        <f t="shared" si="3"/>
        <v>14.8</v>
      </c>
      <c r="I13" s="62">
        <v>615</v>
      </c>
      <c r="J13" s="59" t="s">
        <v>37</v>
      </c>
    </row>
    <row r="14" spans="1:10" s="57" customFormat="1" x14ac:dyDescent="0.25">
      <c r="A14" s="58">
        <v>44030</v>
      </c>
      <c r="B14" s="59" t="s">
        <v>84</v>
      </c>
      <c r="C14" s="60">
        <v>13</v>
      </c>
      <c r="D14" s="59">
        <v>49</v>
      </c>
      <c r="E14" s="61">
        <v>3</v>
      </c>
      <c r="F14" s="61">
        <v>16</v>
      </c>
      <c r="G14" s="59">
        <f t="shared" si="2"/>
        <v>196</v>
      </c>
      <c r="H14" s="62">
        <f t="shared" si="3"/>
        <v>15</v>
      </c>
      <c r="I14" s="62">
        <v>59</v>
      </c>
      <c r="J14" s="59" t="s">
        <v>37</v>
      </c>
    </row>
    <row r="15" spans="1:10" s="57" customFormat="1" x14ac:dyDescent="0.25">
      <c r="A15" s="58">
        <v>44032</v>
      </c>
      <c r="B15" s="59" t="s">
        <v>85</v>
      </c>
      <c r="C15" s="60">
        <v>14</v>
      </c>
      <c r="D15" s="59">
        <v>48</v>
      </c>
      <c r="E15" s="61">
        <v>3</v>
      </c>
      <c r="F15" s="61">
        <v>8</v>
      </c>
      <c r="G15" s="59">
        <f t="shared" si="2"/>
        <v>188</v>
      </c>
      <c r="H15" s="62">
        <f t="shared" si="3"/>
        <v>15.319148936170212</v>
      </c>
      <c r="I15" s="62">
        <v>43</v>
      </c>
      <c r="J15" s="59" t="s">
        <v>37</v>
      </c>
    </row>
    <row r="16" spans="1:10" s="57" customFormat="1" x14ac:dyDescent="0.25">
      <c r="A16" s="58">
        <v>44034</v>
      </c>
      <c r="B16" s="59" t="s">
        <v>86</v>
      </c>
      <c r="C16" s="60">
        <v>15</v>
      </c>
      <c r="D16" s="59">
        <v>33</v>
      </c>
      <c r="E16" s="61">
        <v>2</v>
      </c>
      <c r="F16" s="61">
        <v>23</v>
      </c>
      <c r="G16" s="59">
        <f t="shared" si="2"/>
        <v>143</v>
      </c>
      <c r="H16" s="62">
        <f t="shared" si="3"/>
        <v>13.846153846153847</v>
      </c>
      <c r="I16" s="62">
        <v>335</v>
      </c>
      <c r="J16" s="59" t="s">
        <v>37</v>
      </c>
    </row>
    <row r="17" spans="1:10" s="57" customFormat="1" x14ac:dyDescent="0.25">
      <c r="A17" s="58">
        <v>44035</v>
      </c>
      <c r="B17" s="59" t="s">
        <v>87</v>
      </c>
      <c r="C17" s="60">
        <v>16</v>
      </c>
      <c r="D17" s="59">
        <v>61</v>
      </c>
      <c r="E17" s="61">
        <v>3</v>
      </c>
      <c r="F17" s="61">
        <v>43</v>
      </c>
      <c r="G17" s="59">
        <f t="shared" si="2"/>
        <v>223</v>
      </c>
      <c r="H17" s="62">
        <f t="shared" si="3"/>
        <v>16.412556053811659</v>
      </c>
      <c r="I17" s="62">
        <v>446</v>
      </c>
      <c r="J17" s="59" t="s">
        <v>37</v>
      </c>
    </row>
    <row r="18" spans="1:10" x14ac:dyDescent="0.25">
      <c r="A18" s="58">
        <v>43945</v>
      </c>
      <c r="B18" s="59" t="s">
        <v>88</v>
      </c>
      <c r="C18" s="60">
        <v>17</v>
      </c>
      <c r="D18" s="59">
        <v>58</v>
      </c>
      <c r="E18" s="61">
        <v>3</v>
      </c>
      <c r="F18" s="61">
        <v>32</v>
      </c>
      <c r="G18" s="59">
        <f t="shared" si="2"/>
        <v>212</v>
      </c>
      <c r="H18" s="62">
        <f t="shared" si="3"/>
        <v>16.415094339622641</v>
      </c>
      <c r="I18" s="62">
        <v>264</v>
      </c>
      <c r="J18" s="59" t="s">
        <v>37</v>
      </c>
    </row>
    <row r="19" spans="1:10" x14ac:dyDescent="0.25">
      <c r="A19" s="16">
        <v>44037</v>
      </c>
      <c r="B19" s="52" t="s">
        <v>89</v>
      </c>
      <c r="C19" s="17">
        <v>18</v>
      </c>
      <c r="D19" s="15">
        <v>87</v>
      </c>
      <c r="E19" s="18">
        <v>3</v>
      </c>
      <c r="F19" s="18">
        <v>12</v>
      </c>
      <c r="G19" s="15">
        <f t="shared" si="2"/>
        <v>192</v>
      </c>
      <c r="H19" s="19">
        <f t="shared" si="3"/>
        <v>27.1875</v>
      </c>
      <c r="I19" s="4">
        <v>290</v>
      </c>
      <c r="J19" s="15"/>
    </row>
    <row r="20" spans="1:10" x14ac:dyDescent="0.25">
      <c r="A20" s="16">
        <v>44037</v>
      </c>
      <c r="B20" s="52" t="s">
        <v>90</v>
      </c>
      <c r="C20" s="17">
        <v>19</v>
      </c>
      <c r="D20" s="15">
        <v>40</v>
      </c>
      <c r="E20" s="18">
        <v>2</v>
      </c>
      <c r="F20" s="18">
        <v>0</v>
      </c>
      <c r="G20" s="15">
        <f t="shared" si="2"/>
        <v>120</v>
      </c>
      <c r="H20" s="19">
        <f t="shared" si="3"/>
        <v>20</v>
      </c>
      <c r="I20" s="4">
        <v>150</v>
      </c>
      <c r="J20" s="15" t="s">
        <v>37</v>
      </c>
    </row>
    <row r="21" spans="1:10" x14ac:dyDescent="0.25">
      <c r="A21" s="16">
        <v>44038</v>
      </c>
      <c r="B21" s="52" t="s">
        <v>91</v>
      </c>
      <c r="C21" s="17">
        <v>20</v>
      </c>
      <c r="D21" s="15">
        <v>51</v>
      </c>
      <c r="E21" s="18">
        <v>2</v>
      </c>
      <c r="F21" s="18">
        <v>27</v>
      </c>
      <c r="G21" s="15">
        <f t="shared" si="2"/>
        <v>147</v>
      </c>
      <c r="H21" s="19">
        <f t="shared" si="3"/>
        <v>20.816326530612244</v>
      </c>
      <c r="I21" s="4">
        <v>130</v>
      </c>
      <c r="J21" s="15" t="s">
        <v>37</v>
      </c>
    </row>
    <row r="22" spans="1:10" x14ac:dyDescent="0.25">
      <c r="A22" s="5">
        <v>44040</v>
      </c>
      <c r="B22" s="3" t="s">
        <v>74</v>
      </c>
      <c r="C22" s="8">
        <v>21</v>
      </c>
      <c r="D22" s="15">
        <v>93</v>
      </c>
      <c r="E22" s="6">
        <v>3</v>
      </c>
      <c r="F22" s="6">
        <v>44</v>
      </c>
      <c r="G22" s="3">
        <f t="shared" si="2"/>
        <v>224</v>
      </c>
      <c r="H22" s="4">
        <f t="shared" si="3"/>
        <v>24.910714285714288</v>
      </c>
      <c r="I22" s="4">
        <v>552</v>
      </c>
      <c r="J22" s="15"/>
    </row>
    <row r="23" spans="1:10" x14ac:dyDescent="0.25">
      <c r="A23" s="5">
        <v>44042</v>
      </c>
      <c r="B23" s="3" t="s">
        <v>92</v>
      </c>
      <c r="C23" s="8">
        <v>22</v>
      </c>
      <c r="D23" s="15">
        <v>103</v>
      </c>
      <c r="E23" s="6">
        <v>4</v>
      </c>
      <c r="F23" s="6">
        <v>1</v>
      </c>
      <c r="G23" s="3">
        <f t="shared" si="2"/>
        <v>241</v>
      </c>
      <c r="H23" s="4">
        <f t="shared" si="3"/>
        <v>25.643153526970952</v>
      </c>
      <c r="I23" s="4">
        <v>675</v>
      </c>
      <c r="J23" s="15"/>
    </row>
    <row r="24" spans="1:10" x14ac:dyDescent="0.25">
      <c r="A24" s="5"/>
      <c r="B24" s="3"/>
      <c r="C24" s="8">
        <v>23</v>
      </c>
      <c r="D24" s="15"/>
      <c r="E24" s="6"/>
      <c r="F24" s="6"/>
      <c r="G24" s="3">
        <f t="shared" si="2"/>
        <v>0</v>
      </c>
      <c r="H24" s="4" t="e">
        <f t="shared" si="3"/>
        <v>#DIV/0!</v>
      </c>
      <c r="I24" s="4"/>
      <c r="J24" s="15"/>
    </row>
    <row r="25" spans="1:10" x14ac:dyDescent="0.25">
      <c r="A25" s="5"/>
      <c r="B25" s="3"/>
      <c r="C25" s="3">
        <v>24</v>
      </c>
      <c r="D25" s="3"/>
      <c r="E25" s="6"/>
      <c r="F25" s="6"/>
      <c r="G25" s="3">
        <f t="shared" si="0"/>
        <v>0</v>
      </c>
      <c r="H25" s="4" t="e">
        <f t="shared" si="1"/>
        <v>#DIV/0!</v>
      </c>
      <c r="I25" s="4"/>
      <c r="J25" s="3"/>
    </row>
    <row r="26" spans="1:10" x14ac:dyDescent="0.25">
      <c r="D26">
        <f>SUM(D3:D25)</f>
        <v>1399</v>
      </c>
      <c r="I26" s="2">
        <f>SUM(I3:I25)</f>
        <v>6595</v>
      </c>
    </row>
    <row r="27" spans="1:10" x14ac:dyDescent="0.25">
      <c r="B27">
        <f>SUM(Juin!B25+Juil!D26)</f>
        <v>6210</v>
      </c>
      <c r="H27" s="2">
        <f>SUM(Juin!H25+Juil!I26)</f>
        <v>21708</v>
      </c>
    </row>
    <row r="28" spans="1:10" x14ac:dyDescent="0.25">
      <c r="B28" s="3"/>
      <c r="D28" s="24"/>
      <c r="E28" s="28"/>
      <c r="F28" s="24"/>
      <c r="G28" s="24"/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Normal="100" workbookViewId="0">
      <selection activeCell="B17" sqref="B17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14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20">
        <v>44044</v>
      </c>
      <c r="B3" s="17" t="s">
        <v>93</v>
      </c>
      <c r="C3" s="17">
        <v>1</v>
      </c>
      <c r="D3" s="17">
        <v>79</v>
      </c>
      <c r="E3" s="21">
        <v>3</v>
      </c>
      <c r="F3" s="21">
        <v>24</v>
      </c>
      <c r="G3" s="3">
        <f t="shared" ref="G3:G22" si="0">SUM(E3*60+F3)</f>
        <v>204</v>
      </c>
      <c r="H3" s="22">
        <f>SUM(D3/G3*60)</f>
        <v>23.235294117647058</v>
      </c>
      <c r="I3" s="10">
        <v>347</v>
      </c>
      <c r="J3" s="17"/>
    </row>
    <row r="4" spans="1:10" x14ac:dyDescent="0.25">
      <c r="A4" s="16">
        <v>44048</v>
      </c>
      <c r="B4" s="15" t="s">
        <v>94</v>
      </c>
      <c r="C4" s="17">
        <v>2</v>
      </c>
      <c r="D4" s="15">
        <v>96</v>
      </c>
      <c r="E4" s="18">
        <v>3</v>
      </c>
      <c r="F4" s="18">
        <v>42</v>
      </c>
      <c r="G4" s="3">
        <f t="shared" si="0"/>
        <v>222</v>
      </c>
      <c r="H4" s="19">
        <f t="shared" ref="H4:H23" si="1">SUM(D4/G4*60)</f>
        <v>25.945945945945947</v>
      </c>
      <c r="I4" s="10">
        <v>355</v>
      </c>
      <c r="J4" s="17"/>
    </row>
    <row r="5" spans="1:10" x14ac:dyDescent="0.25">
      <c r="A5" s="16">
        <v>44051</v>
      </c>
      <c r="B5" s="15" t="s">
        <v>95</v>
      </c>
      <c r="C5" s="17">
        <v>3</v>
      </c>
      <c r="D5" s="15">
        <v>88</v>
      </c>
      <c r="E5" s="18">
        <v>3</v>
      </c>
      <c r="F5" s="18">
        <v>20</v>
      </c>
      <c r="G5" s="3">
        <f t="shared" si="0"/>
        <v>200</v>
      </c>
      <c r="H5" s="19">
        <f t="shared" si="1"/>
        <v>26.4</v>
      </c>
      <c r="I5" s="19">
        <v>380</v>
      </c>
      <c r="J5" s="17"/>
    </row>
    <row r="6" spans="1:10" x14ac:dyDescent="0.25">
      <c r="A6" s="16">
        <v>44054</v>
      </c>
      <c r="B6" s="15" t="s">
        <v>96</v>
      </c>
      <c r="C6" s="17">
        <v>4</v>
      </c>
      <c r="D6" s="15">
        <v>108</v>
      </c>
      <c r="E6" s="18">
        <v>3</v>
      </c>
      <c r="F6" s="18">
        <v>46</v>
      </c>
      <c r="G6" s="3">
        <f t="shared" si="0"/>
        <v>226</v>
      </c>
      <c r="H6" s="19">
        <f t="shared" si="1"/>
        <v>28.672566371681416</v>
      </c>
      <c r="I6" s="19">
        <v>310</v>
      </c>
      <c r="J6" s="17"/>
    </row>
    <row r="7" spans="1:10" x14ac:dyDescent="0.25">
      <c r="A7" s="16">
        <v>44056</v>
      </c>
      <c r="B7" s="15" t="s">
        <v>97</v>
      </c>
      <c r="C7" s="17">
        <v>5</v>
      </c>
      <c r="D7" s="15">
        <v>90</v>
      </c>
      <c r="E7" s="18">
        <v>3</v>
      </c>
      <c r="F7" s="18">
        <v>38</v>
      </c>
      <c r="G7" s="3">
        <f t="shared" si="0"/>
        <v>218</v>
      </c>
      <c r="H7" s="19">
        <f t="shared" si="1"/>
        <v>24.770642201834864</v>
      </c>
      <c r="I7" s="19">
        <v>437</v>
      </c>
      <c r="J7" s="17"/>
    </row>
    <row r="8" spans="1:10" x14ac:dyDescent="0.25">
      <c r="A8" s="16">
        <v>44058</v>
      </c>
      <c r="B8" s="15" t="s">
        <v>98</v>
      </c>
      <c r="C8" s="17">
        <v>3</v>
      </c>
      <c r="D8" s="15">
        <v>80</v>
      </c>
      <c r="E8" s="18">
        <v>3</v>
      </c>
      <c r="F8" s="18">
        <v>13</v>
      </c>
      <c r="G8" s="3">
        <f t="shared" si="0"/>
        <v>193</v>
      </c>
      <c r="H8" s="19">
        <f t="shared" si="1"/>
        <v>24.870466321243523</v>
      </c>
      <c r="I8" s="19">
        <v>559</v>
      </c>
      <c r="J8" s="17"/>
    </row>
    <row r="9" spans="1:10" x14ac:dyDescent="0.25">
      <c r="A9" s="16">
        <v>44061</v>
      </c>
      <c r="B9" s="15" t="s">
        <v>99</v>
      </c>
      <c r="C9" s="17">
        <v>7</v>
      </c>
      <c r="D9" s="15">
        <v>106</v>
      </c>
      <c r="E9" s="18">
        <v>3</v>
      </c>
      <c r="F9" s="18">
        <v>52</v>
      </c>
      <c r="G9" s="3">
        <f t="shared" si="0"/>
        <v>232</v>
      </c>
      <c r="H9" s="19">
        <f t="shared" si="1"/>
        <v>27.413793103448278</v>
      </c>
      <c r="I9" s="19">
        <v>404</v>
      </c>
      <c r="J9" s="17"/>
    </row>
    <row r="10" spans="1:10" s="48" customFormat="1" x14ac:dyDescent="0.25">
      <c r="A10" s="41">
        <v>44061</v>
      </c>
      <c r="B10" s="63" t="s">
        <v>100</v>
      </c>
      <c r="C10" s="42">
        <v>8</v>
      </c>
      <c r="D10" s="43">
        <v>37</v>
      </c>
      <c r="E10" s="44">
        <v>1</v>
      </c>
      <c r="F10" s="44">
        <v>48</v>
      </c>
      <c r="G10" s="45">
        <f t="shared" si="0"/>
        <v>108</v>
      </c>
      <c r="H10" s="46">
        <f t="shared" si="1"/>
        <v>20.555555555555557</v>
      </c>
      <c r="I10" s="47">
        <v>139</v>
      </c>
      <c r="J10" s="42" t="s">
        <v>101</v>
      </c>
    </row>
    <row r="11" spans="1:10" s="48" customFormat="1" x14ac:dyDescent="0.25">
      <c r="A11" s="41">
        <v>44063</v>
      </c>
      <c r="B11" s="63" t="s">
        <v>102</v>
      </c>
      <c r="C11" s="42">
        <v>9</v>
      </c>
      <c r="D11" s="43">
        <v>106</v>
      </c>
      <c r="E11" s="44">
        <v>4</v>
      </c>
      <c r="F11" s="44">
        <v>4</v>
      </c>
      <c r="G11" s="45">
        <f t="shared" si="0"/>
        <v>244</v>
      </c>
      <c r="H11" s="46">
        <f t="shared" si="1"/>
        <v>26.065573770491802</v>
      </c>
      <c r="I11" s="49">
        <v>345</v>
      </c>
      <c r="J11" s="42"/>
    </row>
    <row r="12" spans="1:10" x14ac:dyDescent="0.25">
      <c r="A12" s="16">
        <v>44063</v>
      </c>
      <c r="B12" s="15" t="s">
        <v>103</v>
      </c>
      <c r="C12" s="17">
        <v>9</v>
      </c>
      <c r="D12" s="15">
        <v>17</v>
      </c>
      <c r="E12" s="18"/>
      <c r="F12" s="18">
        <v>38</v>
      </c>
      <c r="G12" s="3">
        <f t="shared" ref="G12" si="2">SUM(E12*60+F12)</f>
        <v>38</v>
      </c>
      <c r="H12" s="19">
        <f t="shared" ref="H12" si="3">SUM(D12/G12*60)</f>
        <v>26.842105263157894</v>
      </c>
      <c r="I12" s="4">
        <v>36</v>
      </c>
      <c r="J12" s="17"/>
    </row>
    <row r="13" spans="1:10" x14ac:dyDescent="0.25">
      <c r="A13" s="16">
        <v>44067</v>
      </c>
      <c r="B13" s="15" t="s">
        <v>56</v>
      </c>
      <c r="C13" s="17">
        <v>11</v>
      </c>
      <c r="D13" s="15">
        <v>10</v>
      </c>
      <c r="E13" s="18"/>
      <c r="F13" s="18">
        <v>54</v>
      </c>
      <c r="G13" s="3">
        <f t="shared" si="0"/>
        <v>54</v>
      </c>
      <c r="H13" s="19">
        <f t="shared" si="1"/>
        <v>11.111111111111111</v>
      </c>
      <c r="I13" s="4">
        <v>19</v>
      </c>
      <c r="J13" s="17" t="s">
        <v>104</v>
      </c>
    </row>
    <row r="14" spans="1:10" x14ac:dyDescent="0.25">
      <c r="A14" s="16">
        <v>44068</v>
      </c>
      <c r="B14" s="15" t="s">
        <v>105</v>
      </c>
      <c r="C14" s="17">
        <v>12</v>
      </c>
      <c r="D14" s="15">
        <v>95</v>
      </c>
      <c r="E14" s="18">
        <v>3</v>
      </c>
      <c r="F14" s="18">
        <v>35</v>
      </c>
      <c r="G14" s="3">
        <f t="shared" si="0"/>
        <v>215</v>
      </c>
      <c r="H14" s="19">
        <f t="shared" si="1"/>
        <v>26.511627906976745</v>
      </c>
      <c r="I14" s="4">
        <v>366</v>
      </c>
      <c r="J14" s="15"/>
    </row>
    <row r="15" spans="1:10" x14ac:dyDescent="0.25">
      <c r="A15" s="16">
        <v>44070</v>
      </c>
      <c r="B15" s="15" t="s">
        <v>106</v>
      </c>
      <c r="C15" s="17">
        <v>13</v>
      </c>
      <c r="D15" s="15">
        <v>94</v>
      </c>
      <c r="E15" s="18">
        <v>3</v>
      </c>
      <c r="F15" s="18">
        <v>42</v>
      </c>
      <c r="G15" s="3">
        <f t="shared" si="0"/>
        <v>222</v>
      </c>
      <c r="H15" s="19">
        <f t="shared" si="1"/>
        <v>25.405405405405407</v>
      </c>
      <c r="I15" s="4">
        <v>359</v>
      </c>
      <c r="J15" s="15"/>
    </row>
    <row r="16" spans="1:10" x14ac:dyDescent="0.25">
      <c r="A16" s="16">
        <v>44072</v>
      </c>
      <c r="B16" s="15" t="s">
        <v>107</v>
      </c>
      <c r="C16" s="17">
        <v>14</v>
      </c>
      <c r="D16" s="15">
        <v>88</v>
      </c>
      <c r="E16" s="18">
        <v>3</v>
      </c>
      <c r="F16" s="18">
        <v>17</v>
      </c>
      <c r="G16" s="3">
        <f t="shared" si="0"/>
        <v>197</v>
      </c>
      <c r="H16" s="19">
        <f t="shared" si="1"/>
        <v>26.802030456852791</v>
      </c>
      <c r="I16" s="4">
        <v>393</v>
      </c>
      <c r="J16" s="15"/>
    </row>
    <row r="17" spans="1:10" x14ac:dyDescent="0.25">
      <c r="A17" s="16">
        <v>44074</v>
      </c>
      <c r="B17" s="15" t="s">
        <v>108</v>
      </c>
      <c r="C17" s="17">
        <v>15</v>
      </c>
      <c r="D17" s="15">
        <v>25</v>
      </c>
      <c r="E17" s="18">
        <v>1</v>
      </c>
      <c r="F17" s="18">
        <v>38</v>
      </c>
      <c r="G17" s="3">
        <f t="shared" si="0"/>
        <v>98</v>
      </c>
      <c r="H17" s="19">
        <f t="shared" si="1"/>
        <v>15.306122448979592</v>
      </c>
      <c r="I17" s="4">
        <v>300</v>
      </c>
      <c r="J17" s="15" t="s">
        <v>109</v>
      </c>
    </row>
    <row r="18" spans="1:10" x14ac:dyDescent="0.25">
      <c r="A18" s="16"/>
      <c r="B18" s="15"/>
      <c r="C18" s="17">
        <v>16</v>
      </c>
      <c r="D18" s="15"/>
      <c r="E18" s="18"/>
      <c r="F18" s="18"/>
      <c r="G18" s="3">
        <f t="shared" si="0"/>
        <v>0</v>
      </c>
      <c r="H18" s="19" t="e">
        <f t="shared" si="1"/>
        <v>#DIV/0!</v>
      </c>
      <c r="I18" s="4"/>
      <c r="J18" s="15"/>
    </row>
    <row r="19" spans="1:10" x14ac:dyDescent="0.25">
      <c r="A19" s="5"/>
      <c r="B19" s="3"/>
      <c r="C19" s="17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17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3"/>
      <c r="C21" s="17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9"/>
      <c r="C22" s="17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15">
        <v>21</v>
      </c>
      <c r="D23" s="3"/>
      <c r="E23" s="6"/>
      <c r="F23" s="6"/>
      <c r="G23" s="3">
        <f t="shared" ref="G23" si="4">SUM(E23*60+F23)</f>
        <v>0</v>
      </c>
      <c r="H23" s="4" t="e">
        <f t="shared" si="1"/>
        <v>#DIV/0!</v>
      </c>
      <c r="I23" s="4"/>
      <c r="J23" s="3"/>
    </row>
    <row r="24" spans="1:10" x14ac:dyDescent="0.25">
      <c r="A24" s="34"/>
      <c r="B24" s="35"/>
      <c r="C24" s="35"/>
      <c r="D24" s="35"/>
      <c r="E24" s="36"/>
      <c r="F24" s="36"/>
      <c r="G24" s="35"/>
      <c r="H24" s="37"/>
      <c r="I24" s="2">
        <f>SUM(I3:I23)</f>
        <v>4749</v>
      </c>
      <c r="J24" s="35"/>
    </row>
    <row r="25" spans="1:10" x14ac:dyDescent="0.25">
      <c r="D25">
        <f>SUM(D3:D24)</f>
        <v>1119</v>
      </c>
      <c r="H25" s="2">
        <f>SUM(Juil!H27+Aout!I24)</f>
        <v>26457</v>
      </c>
    </row>
    <row r="26" spans="1:10" x14ac:dyDescent="0.25">
      <c r="B26">
        <f>SUM(Juil!B27+Aout!D25)</f>
        <v>7329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5"/>
  <sheetViews>
    <sheetView workbookViewId="0">
      <selection activeCell="I19" sqref="I19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2" ht="27" thickBot="1" x14ac:dyDescent="0.45">
      <c r="A1" s="71" t="s">
        <v>15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2" ht="19.5" thickBot="1" x14ac:dyDescent="0.35">
      <c r="A2" s="11" t="s">
        <v>0</v>
      </c>
      <c r="B2" s="25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2" x14ac:dyDescent="0.25">
      <c r="A3" s="20">
        <v>44075</v>
      </c>
      <c r="B3" s="15" t="s">
        <v>108</v>
      </c>
      <c r="C3" s="17">
        <v>1</v>
      </c>
      <c r="D3" s="17">
        <v>14</v>
      </c>
      <c r="E3" s="21">
        <v>0</v>
      </c>
      <c r="F3" s="21">
        <v>50</v>
      </c>
      <c r="G3" s="17">
        <f>SUM(E3*60+F3)</f>
        <v>50</v>
      </c>
      <c r="H3" s="22">
        <f>SUM(D3/G3*60)</f>
        <v>16.8</v>
      </c>
      <c r="I3" s="10">
        <v>150</v>
      </c>
      <c r="J3" s="15" t="s">
        <v>109</v>
      </c>
    </row>
    <row r="4" spans="1:12" x14ac:dyDescent="0.25">
      <c r="A4" s="16">
        <v>44076</v>
      </c>
      <c r="B4" s="15" t="s">
        <v>108</v>
      </c>
      <c r="C4" s="17">
        <v>2</v>
      </c>
      <c r="D4" s="15">
        <v>32</v>
      </c>
      <c r="E4" s="18">
        <v>1</v>
      </c>
      <c r="F4" s="18">
        <v>58</v>
      </c>
      <c r="G4" s="15">
        <f t="shared" ref="G4:G23" si="0">SUM(E4*60+F4)</f>
        <v>118</v>
      </c>
      <c r="H4" s="19">
        <f t="shared" ref="H4:H23" si="1">SUM(D4/G4*60)</f>
        <v>16.271186440677965</v>
      </c>
      <c r="I4" s="10">
        <v>324</v>
      </c>
      <c r="J4" s="15" t="s">
        <v>109</v>
      </c>
    </row>
    <row r="5" spans="1:12" x14ac:dyDescent="0.25">
      <c r="A5" s="16">
        <v>44078</v>
      </c>
      <c r="B5" s="64" t="s">
        <v>110</v>
      </c>
      <c r="C5" s="17">
        <v>3</v>
      </c>
      <c r="D5" s="15">
        <v>21</v>
      </c>
      <c r="E5" s="18">
        <v>1</v>
      </c>
      <c r="F5" s="18">
        <v>17</v>
      </c>
      <c r="G5" s="15">
        <f t="shared" si="0"/>
        <v>77</v>
      </c>
      <c r="H5" s="19">
        <f t="shared" si="1"/>
        <v>16.363636363636363</v>
      </c>
      <c r="I5" s="19">
        <v>226</v>
      </c>
      <c r="J5" s="15" t="s">
        <v>109</v>
      </c>
    </row>
    <row r="6" spans="1:12" x14ac:dyDescent="0.25">
      <c r="A6" s="16">
        <v>44078</v>
      </c>
      <c r="B6" s="64" t="s">
        <v>110</v>
      </c>
      <c r="C6" s="17">
        <v>2</v>
      </c>
      <c r="D6" s="15">
        <v>30</v>
      </c>
      <c r="E6" s="18">
        <v>2</v>
      </c>
      <c r="F6" s="18">
        <v>0</v>
      </c>
      <c r="G6" s="15">
        <f t="shared" ref="G6" si="2">SUM(E6*60+F6)</f>
        <v>120</v>
      </c>
      <c r="H6" s="19">
        <f t="shared" ref="H6" si="3">SUM(D6/G6*60)</f>
        <v>15</v>
      </c>
      <c r="I6" s="19">
        <v>430</v>
      </c>
      <c r="J6" s="15" t="s">
        <v>109</v>
      </c>
    </row>
    <row r="7" spans="1:12" x14ac:dyDescent="0.25">
      <c r="A7" s="16">
        <v>44085</v>
      </c>
      <c r="B7" s="64" t="s">
        <v>111</v>
      </c>
      <c r="C7" s="17">
        <v>5</v>
      </c>
      <c r="D7" s="15">
        <v>36</v>
      </c>
      <c r="E7" s="18">
        <v>1</v>
      </c>
      <c r="F7" s="18">
        <v>50</v>
      </c>
      <c r="G7" s="15">
        <f t="shared" si="0"/>
        <v>110</v>
      </c>
      <c r="H7" s="19">
        <f t="shared" si="1"/>
        <v>19.636363636363637</v>
      </c>
      <c r="I7" s="19">
        <v>62</v>
      </c>
      <c r="J7" s="15" t="s">
        <v>109</v>
      </c>
    </row>
    <row r="8" spans="1:12" x14ac:dyDescent="0.25">
      <c r="A8" s="16">
        <v>44089</v>
      </c>
      <c r="B8" s="64" t="s">
        <v>112</v>
      </c>
      <c r="C8" s="17">
        <v>6</v>
      </c>
      <c r="D8" s="15">
        <v>77</v>
      </c>
      <c r="E8" s="18">
        <v>2</v>
      </c>
      <c r="F8" s="18">
        <v>51</v>
      </c>
      <c r="G8" s="15">
        <f t="shared" si="0"/>
        <v>171</v>
      </c>
      <c r="H8" s="19">
        <f t="shared" si="1"/>
        <v>27.01754385964912</v>
      </c>
      <c r="I8" s="19">
        <v>359</v>
      </c>
      <c r="J8" s="15"/>
      <c r="L8" s="24"/>
    </row>
    <row r="9" spans="1:12" x14ac:dyDescent="0.25">
      <c r="A9" s="16">
        <v>44089</v>
      </c>
      <c r="B9" s="64" t="s">
        <v>73</v>
      </c>
      <c r="C9" s="17">
        <v>7</v>
      </c>
      <c r="D9" s="15">
        <v>11</v>
      </c>
      <c r="E9" s="18">
        <v>0</v>
      </c>
      <c r="F9" s="18">
        <v>26</v>
      </c>
      <c r="G9" s="15">
        <f t="shared" si="0"/>
        <v>26</v>
      </c>
      <c r="H9" s="19">
        <f t="shared" si="1"/>
        <v>25.384615384615383</v>
      </c>
      <c r="I9" s="19">
        <v>17</v>
      </c>
      <c r="J9" s="15"/>
    </row>
    <row r="10" spans="1:12" x14ac:dyDescent="0.25">
      <c r="A10" s="16">
        <v>44092</v>
      </c>
      <c r="B10" s="64" t="s">
        <v>113</v>
      </c>
      <c r="C10" s="17">
        <v>8</v>
      </c>
      <c r="D10" s="15">
        <v>92</v>
      </c>
      <c r="E10" s="18">
        <v>3</v>
      </c>
      <c r="F10" s="18">
        <v>30</v>
      </c>
      <c r="G10" s="15">
        <f t="shared" si="0"/>
        <v>210</v>
      </c>
      <c r="H10" s="19">
        <f t="shared" si="1"/>
        <v>26.285714285714285</v>
      </c>
      <c r="I10" s="10">
        <v>356</v>
      </c>
      <c r="J10" s="15"/>
    </row>
    <row r="11" spans="1:12" x14ac:dyDescent="0.25">
      <c r="A11" s="16">
        <v>44093</v>
      </c>
      <c r="B11" s="64" t="s">
        <v>114</v>
      </c>
      <c r="C11" s="17">
        <v>9</v>
      </c>
      <c r="D11" s="15">
        <v>85</v>
      </c>
      <c r="E11" s="18">
        <v>3</v>
      </c>
      <c r="F11" s="18">
        <v>24</v>
      </c>
      <c r="G11" s="15">
        <f t="shared" si="0"/>
        <v>204</v>
      </c>
      <c r="H11" s="19">
        <f t="shared" si="1"/>
        <v>25</v>
      </c>
      <c r="I11" s="4">
        <v>425</v>
      </c>
      <c r="J11" s="15"/>
    </row>
    <row r="12" spans="1:12" x14ac:dyDescent="0.25">
      <c r="A12" s="5">
        <v>44093</v>
      </c>
      <c r="B12" s="64" t="s">
        <v>115</v>
      </c>
      <c r="C12" s="8">
        <v>10</v>
      </c>
      <c r="D12" s="3">
        <v>44</v>
      </c>
      <c r="E12" s="6">
        <v>2</v>
      </c>
      <c r="F12" s="6">
        <v>8</v>
      </c>
      <c r="G12" s="3">
        <f t="shared" si="0"/>
        <v>128</v>
      </c>
      <c r="H12" s="4">
        <f t="shared" si="1"/>
        <v>20.625</v>
      </c>
      <c r="I12" s="4">
        <v>267</v>
      </c>
      <c r="J12" s="3" t="s">
        <v>37</v>
      </c>
      <c r="K12" s="24"/>
    </row>
    <row r="13" spans="1:12" x14ac:dyDescent="0.25">
      <c r="A13" s="5">
        <v>44096</v>
      </c>
      <c r="B13" s="26" t="s">
        <v>116</v>
      </c>
      <c r="C13" s="8">
        <v>11</v>
      </c>
      <c r="D13" s="3">
        <v>98</v>
      </c>
      <c r="E13" s="6">
        <v>3</v>
      </c>
      <c r="F13" s="6">
        <v>48</v>
      </c>
      <c r="G13" s="3">
        <f t="shared" si="0"/>
        <v>228</v>
      </c>
      <c r="H13" s="4">
        <f t="shared" si="1"/>
        <v>25.789473684210527</v>
      </c>
      <c r="I13" s="4">
        <v>354</v>
      </c>
      <c r="J13" s="3"/>
    </row>
    <row r="14" spans="1:12" x14ac:dyDescent="0.25">
      <c r="A14" s="5">
        <v>44100</v>
      </c>
      <c r="B14" s="26" t="s">
        <v>117</v>
      </c>
      <c r="C14" s="8">
        <v>12</v>
      </c>
      <c r="D14" s="3">
        <v>84</v>
      </c>
      <c r="E14" s="6">
        <v>3</v>
      </c>
      <c r="F14" s="6">
        <v>17</v>
      </c>
      <c r="G14" s="3">
        <f t="shared" si="0"/>
        <v>197</v>
      </c>
      <c r="H14" s="4">
        <f t="shared" si="1"/>
        <v>25.583756345177665</v>
      </c>
      <c r="I14" s="4">
        <v>384</v>
      </c>
      <c r="J14" s="15"/>
    </row>
    <row r="15" spans="1:12" x14ac:dyDescent="0.25">
      <c r="A15" s="5">
        <v>44100</v>
      </c>
      <c r="B15" s="26" t="s">
        <v>118</v>
      </c>
      <c r="C15" s="8">
        <v>13</v>
      </c>
      <c r="D15" s="3">
        <v>25</v>
      </c>
      <c r="E15" s="6">
        <v>1</v>
      </c>
      <c r="F15" s="6">
        <v>37</v>
      </c>
      <c r="G15" s="3">
        <f t="shared" si="0"/>
        <v>97</v>
      </c>
      <c r="H15" s="4">
        <f t="shared" si="1"/>
        <v>15.463917525773194</v>
      </c>
      <c r="I15" s="4">
        <v>33</v>
      </c>
      <c r="J15" s="3"/>
    </row>
    <row r="16" spans="1:12" x14ac:dyDescent="0.25">
      <c r="A16" s="5">
        <v>44103</v>
      </c>
      <c r="B16" s="26" t="s">
        <v>119</v>
      </c>
      <c r="C16" s="8">
        <v>14</v>
      </c>
      <c r="D16" s="3">
        <v>102</v>
      </c>
      <c r="E16" s="6">
        <v>3</v>
      </c>
      <c r="F16" s="6">
        <v>49</v>
      </c>
      <c r="G16" s="3">
        <f t="shared" si="0"/>
        <v>229</v>
      </c>
      <c r="H16" s="4">
        <f t="shared" si="1"/>
        <v>26.724890829694321</v>
      </c>
      <c r="I16" s="4">
        <v>465</v>
      </c>
      <c r="J16" s="3"/>
    </row>
    <row r="17" spans="1:10" x14ac:dyDescent="0.25">
      <c r="A17" s="5"/>
      <c r="B17" s="64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 x14ac:dyDescent="0.25">
      <c r="A18" s="5"/>
      <c r="B18" s="26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x14ac:dyDescent="0.25">
      <c r="A19" s="5"/>
      <c r="B19" s="26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26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26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751</v>
      </c>
      <c r="I24" s="2">
        <f>SUM(I3:I23)</f>
        <v>3852</v>
      </c>
    </row>
    <row r="25" spans="1:10" x14ac:dyDescent="0.25">
      <c r="B25">
        <f>SUM(Aout!B26+Sept!D24)</f>
        <v>8080</v>
      </c>
      <c r="H25" s="2">
        <f>SUM(Aout!H25+Sept!I24)</f>
        <v>30309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"/>
  <sheetViews>
    <sheetView workbookViewId="0">
      <selection activeCell="H38" sqref="H38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16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20">
        <v>44105</v>
      </c>
      <c r="B3" s="17" t="s">
        <v>120</v>
      </c>
      <c r="C3" s="17">
        <v>1</v>
      </c>
      <c r="D3" s="17">
        <v>98</v>
      </c>
      <c r="E3" s="21">
        <v>3</v>
      </c>
      <c r="F3" s="21">
        <v>39</v>
      </c>
      <c r="G3" s="17">
        <f>SUM(E3*60+F3)</f>
        <v>219</v>
      </c>
      <c r="H3" s="22">
        <f>SUM(D3/G3*60)</f>
        <v>26.849315068493148</v>
      </c>
      <c r="I3" s="10">
        <v>409</v>
      </c>
      <c r="J3" s="17"/>
    </row>
    <row r="4" spans="1:10" x14ac:dyDescent="0.25">
      <c r="A4" s="16">
        <v>44107</v>
      </c>
      <c r="B4" s="15" t="s">
        <v>121</v>
      </c>
      <c r="C4" s="17">
        <v>2</v>
      </c>
      <c r="D4" s="15">
        <v>73</v>
      </c>
      <c r="E4" s="18">
        <v>2</v>
      </c>
      <c r="F4" s="18">
        <v>58</v>
      </c>
      <c r="G4" s="15">
        <f t="shared" ref="G4:G23" si="0">SUM(E4*60+F4)</f>
        <v>178</v>
      </c>
      <c r="H4" s="19">
        <f t="shared" ref="H4:H23" si="1">SUM(D4/G4*60)</f>
        <v>24.606741573033709</v>
      </c>
      <c r="I4" s="10">
        <v>358</v>
      </c>
      <c r="J4" s="3"/>
    </row>
    <row r="5" spans="1:10" x14ac:dyDescent="0.25">
      <c r="A5" s="16">
        <v>44110</v>
      </c>
      <c r="B5" s="15" t="s">
        <v>122</v>
      </c>
      <c r="C5" s="17">
        <v>3</v>
      </c>
      <c r="D5" s="15">
        <v>104</v>
      </c>
      <c r="E5" s="18">
        <v>3</v>
      </c>
      <c r="F5" s="18">
        <v>56</v>
      </c>
      <c r="G5" s="15">
        <f t="shared" si="0"/>
        <v>236</v>
      </c>
      <c r="H5" s="19">
        <f t="shared" si="1"/>
        <v>26.440677966101696</v>
      </c>
      <c r="I5" s="19">
        <v>416</v>
      </c>
      <c r="J5" s="15"/>
    </row>
    <row r="6" spans="1:10" x14ac:dyDescent="0.25">
      <c r="A6" s="16">
        <v>44112</v>
      </c>
      <c r="B6" s="15" t="s">
        <v>123</v>
      </c>
      <c r="C6" s="17">
        <v>4</v>
      </c>
      <c r="D6" s="15">
        <v>100</v>
      </c>
      <c r="E6" s="18">
        <v>3</v>
      </c>
      <c r="F6" s="18">
        <v>53</v>
      </c>
      <c r="G6" s="15">
        <f t="shared" si="0"/>
        <v>233</v>
      </c>
      <c r="H6" s="19">
        <f t="shared" si="1"/>
        <v>25.751072961373392</v>
      </c>
      <c r="I6" s="19">
        <v>422</v>
      </c>
      <c r="J6" s="15"/>
    </row>
    <row r="7" spans="1:10" x14ac:dyDescent="0.25">
      <c r="A7" s="16">
        <v>44114</v>
      </c>
      <c r="B7" s="15" t="s">
        <v>124</v>
      </c>
      <c r="C7" s="17">
        <v>5</v>
      </c>
      <c r="D7" s="15">
        <v>76</v>
      </c>
      <c r="E7" s="18">
        <v>2</v>
      </c>
      <c r="F7" s="18">
        <v>57</v>
      </c>
      <c r="G7" s="15">
        <f t="shared" si="0"/>
        <v>177</v>
      </c>
      <c r="H7" s="19">
        <f t="shared" si="1"/>
        <v>25.762711864406779</v>
      </c>
      <c r="I7" s="19">
        <v>291</v>
      </c>
      <c r="J7" s="15"/>
    </row>
    <row r="8" spans="1:10" x14ac:dyDescent="0.25">
      <c r="A8" s="16">
        <v>44114</v>
      </c>
      <c r="B8" s="15" t="s">
        <v>25</v>
      </c>
      <c r="C8" s="17">
        <v>6</v>
      </c>
      <c r="D8" s="15">
        <v>25</v>
      </c>
      <c r="E8" s="18">
        <v>1</v>
      </c>
      <c r="F8" s="18">
        <v>40</v>
      </c>
      <c r="G8" s="15">
        <f t="shared" si="0"/>
        <v>100</v>
      </c>
      <c r="H8" s="19">
        <f t="shared" si="1"/>
        <v>15</v>
      </c>
      <c r="I8" s="19">
        <v>81</v>
      </c>
      <c r="J8" s="3"/>
    </row>
    <row r="9" spans="1:10" x14ac:dyDescent="0.25">
      <c r="A9" s="16">
        <v>44117</v>
      </c>
      <c r="B9" s="15" t="s">
        <v>125</v>
      </c>
      <c r="C9" s="17">
        <v>7</v>
      </c>
      <c r="D9" s="15">
        <v>103</v>
      </c>
      <c r="E9" s="18">
        <v>3</v>
      </c>
      <c r="F9" s="18">
        <v>52</v>
      </c>
      <c r="G9" s="15">
        <f t="shared" si="0"/>
        <v>232</v>
      </c>
      <c r="H9" s="19">
        <f t="shared" si="1"/>
        <v>26.637931034482762</v>
      </c>
      <c r="I9" s="19">
        <v>317</v>
      </c>
      <c r="J9" s="15"/>
    </row>
    <row r="10" spans="1:10" x14ac:dyDescent="0.25">
      <c r="A10" s="16">
        <v>44119</v>
      </c>
      <c r="B10" s="15" t="s">
        <v>126</v>
      </c>
      <c r="C10" s="17">
        <v>8</v>
      </c>
      <c r="D10" s="15">
        <v>96</v>
      </c>
      <c r="E10" s="18">
        <v>3</v>
      </c>
      <c r="F10" s="18">
        <v>33</v>
      </c>
      <c r="G10" s="15">
        <f t="shared" si="0"/>
        <v>213</v>
      </c>
      <c r="H10" s="19">
        <f t="shared" si="1"/>
        <v>27.04225352112676</v>
      </c>
      <c r="I10" s="10">
        <v>359</v>
      </c>
      <c r="J10" s="15"/>
    </row>
    <row r="11" spans="1:10" x14ac:dyDescent="0.25">
      <c r="A11" s="5">
        <v>44121</v>
      </c>
      <c r="B11" s="15" t="s">
        <v>127</v>
      </c>
      <c r="C11" s="8">
        <v>9</v>
      </c>
      <c r="D11" s="3">
        <v>75</v>
      </c>
      <c r="E11" s="6">
        <v>3</v>
      </c>
      <c r="F11" s="6">
        <v>2</v>
      </c>
      <c r="G11" s="3">
        <f t="shared" si="0"/>
        <v>182</v>
      </c>
      <c r="H11" s="4">
        <f t="shared" si="1"/>
        <v>24.725274725274723</v>
      </c>
      <c r="I11" s="4">
        <v>451</v>
      </c>
      <c r="J11" s="3"/>
    </row>
    <row r="12" spans="1:10" x14ac:dyDescent="0.25">
      <c r="A12" s="5">
        <v>44126</v>
      </c>
      <c r="B12" s="3" t="s">
        <v>128</v>
      </c>
      <c r="C12" s="8">
        <v>10</v>
      </c>
      <c r="D12" s="3">
        <v>100</v>
      </c>
      <c r="E12" s="6">
        <v>3</v>
      </c>
      <c r="F12" s="6">
        <v>45</v>
      </c>
      <c r="G12" s="3">
        <f t="shared" si="0"/>
        <v>225</v>
      </c>
      <c r="H12" s="4">
        <f t="shared" si="1"/>
        <v>26.666666666666664</v>
      </c>
      <c r="I12" s="4">
        <v>487</v>
      </c>
      <c r="J12" s="3"/>
    </row>
    <row r="13" spans="1:10" x14ac:dyDescent="0.25">
      <c r="A13" s="5">
        <v>44128</v>
      </c>
      <c r="B13" s="3" t="s">
        <v>129</v>
      </c>
      <c r="C13" s="8">
        <v>11</v>
      </c>
      <c r="D13" s="3">
        <v>73</v>
      </c>
      <c r="E13" s="6">
        <v>2</v>
      </c>
      <c r="F13" s="6">
        <v>54</v>
      </c>
      <c r="G13" s="3">
        <f t="shared" si="0"/>
        <v>174</v>
      </c>
      <c r="H13" s="4">
        <f t="shared" si="1"/>
        <v>25.172413793103448</v>
      </c>
      <c r="I13" s="4">
        <v>539</v>
      </c>
      <c r="J13" s="3"/>
    </row>
    <row r="14" spans="1:10" x14ac:dyDescent="0.25">
      <c r="A14" s="5">
        <v>44128</v>
      </c>
      <c r="B14" s="3" t="s">
        <v>130</v>
      </c>
      <c r="C14" s="8">
        <v>12</v>
      </c>
      <c r="D14" s="3">
        <v>30</v>
      </c>
      <c r="E14" s="6">
        <v>1</v>
      </c>
      <c r="F14" s="6">
        <v>47</v>
      </c>
      <c r="G14" s="3">
        <f t="shared" si="0"/>
        <v>107</v>
      </c>
      <c r="H14" s="4">
        <f t="shared" si="1"/>
        <v>16.822429906542055</v>
      </c>
      <c r="I14" s="4">
        <v>30</v>
      </c>
      <c r="J14" s="3" t="s">
        <v>131</v>
      </c>
    </row>
    <row r="15" spans="1:10" x14ac:dyDescent="0.25">
      <c r="A15" s="5">
        <v>44133</v>
      </c>
      <c r="B15" s="3" t="s">
        <v>132</v>
      </c>
      <c r="C15" s="8">
        <v>13</v>
      </c>
      <c r="D15" s="3">
        <v>103</v>
      </c>
      <c r="E15" s="6">
        <v>4</v>
      </c>
      <c r="F15" s="6">
        <v>6</v>
      </c>
      <c r="G15" s="3">
        <f t="shared" si="0"/>
        <v>246</v>
      </c>
      <c r="H15" s="4">
        <f t="shared" si="1"/>
        <v>25.121951219512194</v>
      </c>
      <c r="I15" s="4">
        <v>451</v>
      </c>
      <c r="J15" s="3"/>
    </row>
    <row r="16" spans="1:10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x14ac:dyDescent="0.25">
      <c r="A19" s="5"/>
      <c r="B19" s="15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1056</v>
      </c>
      <c r="I24" s="2">
        <f>SUM(I3:I23)</f>
        <v>4611</v>
      </c>
    </row>
    <row r="25" spans="1:10" x14ac:dyDescent="0.25">
      <c r="B25">
        <f>SUM(Sept!B25+Oct!D24)</f>
        <v>9136</v>
      </c>
      <c r="H25" s="2">
        <f>SUM(Sept!H25+Oct!I24)</f>
        <v>34920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5"/>
  <sheetViews>
    <sheetView workbookViewId="0">
      <selection activeCell="G28" sqref="G28:G29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17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20">
        <v>44163</v>
      </c>
      <c r="B3" s="17" t="s">
        <v>133</v>
      </c>
      <c r="C3" s="17">
        <v>1</v>
      </c>
      <c r="D3" s="17">
        <v>72</v>
      </c>
      <c r="E3" s="21">
        <v>2</v>
      </c>
      <c r="F3" s="21">
        <v>51</v>
      </c>
      <c r="G3" s="17">
        <f>SUM(E3*60+F3)</f>
        <v>171</v>
      </c>
      <c r="H3" s="22">
        <f>SUM(D3/G3*60)</f>
        <v>25.263157894736842</v>
      </c>
      <c r="I3" s="10">
        <v>251</v>
      </c>
      <c r="J3" s="15"/>
    </row>
    <row r="4" spans="1:10" x14ac:dyDescent="0.25">
      <c r="A4" s="16">
        <v>44165</v>
      </c>
      <c r="B4" s="15" t="s">
        <v>134</v>
      </c>
      <c r="C4" s="17">
        <v>2</v>
      </c>
      <c r="D4" s="15">
        <v>72</v>
      </c>
      <c r="E4" s="18">
        <v>2</v>
      </c>
      <c r="F4" s="18">
        <v>46</v>
      </c>
      <c r="G4" s="15">
        <f>SUM(E4*60+F4)</f>
        <v>166</v>
      </c>
      <c r="H4" s="19">
        <f t="shared" ref="H4:H23" si="0">SUM(D4/G4*60)</f>
        <v>26.024096385542169</v>
      </c>
      <c r="I4" s="10">
        <v>233</v>
      </c>
      <c r="J4" s="15"/>
    </row>
    <row r="5" spans="1:10" x14ac:dyDescent="0.25">
      <c r="A5" s="16"/>
      <c r="B5" s="15"/>
      <c r="C5" s="17">
        <v>3</v>
      </c>
      <c r="D5" s="15"/>
      <c r="E5" s="18"/>
      <c r="F5" s="18"/>
      <c r="G5" s="15">
        <f>SUM(E5*60+F5)</f>
        <v>0</v>
      </c>
      <c r="H5" s="19" t="e">
        <f t="shared" si="0"/>
        <v>#DIV/0!</v>
      </c>
      <c r="I5" s="19"/>
      <c r="J5" s="15"/>
    </row>
    <row r="6" spans="1:10" x14ac:dyDescent="0.25">
      <c r="A6" s="16"/>
      <c r="B6" s="15"/>
      <c r="C6" s="17">
        <v>4</v>
      </c>
      <c r="D6" s="15"/>
      <c r="E6" s="18"/>
      <c r="F6" s="18"/>
      <c r="G6" s="15">
        <f t="shared" ref="G6:G23" si="1">SUM(E6*60+F6)</f>
        <v>0</v>
      </c>
      <c r="H6" s="19" t="e">
        <f t="shared" si="0"/>
        <v>#DIV/0!</v>
      </c>
      <c r="I6" s="19"/>
      <c r="J6" s="15"/>
    </row>
    <row r="7" spans="1:10" x14ac:dyDescent="0.25">
      <c r="A7" s="16"/>
      <c r="B7" s="15"/>
      <c r="C7" s="17">
        <v>5</v>
      </c>
      <c r="D7" s="15"/>
      <c r="E7" s="18"/>
      <c r="F7" s="18"/>
      <c r="G7" s="15">
        <f t="shared" si="1"/>
        <v>0</v>
      </c>
      <c r="H7" s="19" t="e">
        <f t="shared" si="0"/>
        <v>#DIV/0!</v>
      </c>
      <c r="I7" s="19"/>
      <c r="J7" s="15"/>
    </row>
    <row r="8" spans="1:10" x14ac:dyDescent="0.25">
      <c r="A8" s="16"/>
      <c r="B8" s="15"/>
      <c r="C8" s="17">
        <v>6</v>
      </c>
      <c r="D8" s="15"/>
      <c r="E8" s="18"/>
      <c r="F8" s="18"/>
      <c r="G8" s="15">
        <f t="shared" si="1"/>
        <v>0</v>
      </c>
      <c r="H8" s="19" t="e">
        <f t="shared" si="0"/>
        <v>#DIV/0!</v>
      </c>
      <c r="I8" s="19"/>
      <c r="J8" s="15"/>
    </row>
    <row r="9" spans="1:10" x14ac:dyDescent="0.25">
      <c r="A9" s="16"/>
      <c r="B9" s="15"/>
      <c r="C9" s="17">
        <v>7</v>
      </c>
      <c r="D9" s="15"/>
      <c r="E9" s="18"/>
      <c r="F9" s="18"/>
      <c r="G9" s="15">
        <f t="shared" si="1"/>
        <v>0</v>
      </c>
      <c r="H9" s="19" t="e">
        <f t="shared" si="0"/>
        <v>#DIV/0!</v>
      </c>
      <c r="I9" s="19"/>
      <c r="J9" s="15"/>
    </row>
    <row r="10" spans="1:10" x14ac:dyDescent="0.25">
      <c r="A10" s="16"/>
      <c r="B10" s="15"/>
      <c r="C10" s="17">
        <v>8</v>
      </c>
      <c r="D10" s="15"/>
      <c r="E10" s="18"/>
      <c r="F10" s="18"/>
      <c r="G10" s="15">
        <f t="shared" si="1"/>
        <v>0</v>
      </c>
      <c r="H10" s="19" t="e">
        <f t="shared" si="0"/>
        <v>#DIV/0!</v>
      </c>
      <c r="I10" s="10"/>
      <c r="J10" s="15"/>
    </row>
    <row r="11" spans="1:10" x14ac:dyDescent="0.25">
      <c r="A11" s="16"/>
      <c r="B11" s="6"/>
      <c r="C11" s="17">
        <v>9</v>
      </c>
      <c r="D11" s="15"/>
      <c r="E11" s="18"/>
      <c r="F11" s="18"/>
      <c r="G11" s="15">
        <f t="shared" si="1"/>
        <v>0</v>
      </c>
      <c r="H11" s="19" t="e">
        <f t="shared" si="0"/>
        <v>#DIV/0!</v>
      </c>
      <c r="I11" s="4"/>
      <c r="J11" s="15"/>
    </row>
    <row r="12" spans="1:10" x14ac:dyDescent="0.25">
      <c r="A12" s="16"/>
      <c r="B12" s="15"/>
      <c r="C12" s="17">
        <v>10</v>
      </c>
      <c r="D12" s="15"/>
      <c r="E12" s="18"/>
      <c r="F12" s="18"/>
      <c r="G12" s="15">
        <f t="shared" si="1"/>
        <v>0</v>
      </c>
      <c r="H12" s="19" t="e">
        <f t="shared" si="0"/>
        <v>#DIV/0!</v>
      </c>
      <c r="I12" s="4"/>
      <c r="J12" s="15"/>
    </row>
    <row r="13" spans="1:10" x14ac:dyDescent="0.25">
      <c r="A13" s="16"/>
      <c r="B13" s="15"/>
      <c r="C13" s="17">
        <v>11</v>
      </c>
      <c r="D13" s="15"/>
      <c r="E13" s="18"/>
      <c r="F13" s="18"/>
      <c r="G13" s="15">
        <f t="shared" si="1"/>
        <v>0</v>
      </c>
      <c r="H13" s="19" t="e">
        <f t="shared" si="0"/>
        <v>#DIV/0!</v>
      </c>
      <c r="I13" s="4"/>
      <c r="J13" s="15"/>
    </row>
    <row r="14" spans="1:10" x14ac:dyDescent="0.25">
      <c r="A14" s="16"/>
      <c r="B14" s="15"/>
      <c r="C14" s="17">
        <v>12</v>
      </c>
      <c r="D14" s="15"/>
      <c r="E14" s="18"/>
      <c r="F14" s="18"/>
      <c r="G14" s="15">
        <f t="shared" si="1"/>
        <v>0</v>
      </c>
      <c r="H14" s="19" t="e">
        <f t="shared" si="0"/>
        <v>#DIV/0!</v>
      </c>
      <c r="I14" s="4"/>
      <c r="J14" s="15"/>
    </row>
    <row r="15" spans="1:10" x14ac:dyDescent="0.25">
      <c r="A15" s="5"/>
      <c r="B15" s="3"/>
      <c r="C15" s="8">
        <v>13</v>
      </c>
      <c r="D15" s="3"/>
      <c r="E15" s="6"/>
      <c r="F15" s="6"/>
      <c r="G15" s="3">
        <f t="shared" si="1"/>
        <v>0</v>
      </c>
      <c r="H15" s="4" t="e">
        <f t="shared" si="0"/>
        <v>#DIV/0!</v>
      </c>
      <c r="I15" s="4"/>
      <c r="J15" s="15"/>
    </row>
    <row r="16" spans="1:10" x14ac:dyDescent="0.25">
      <c r="A16" s="5"/>
      <c r="B16" s="3"/>
      <c r="C16" s="8">
        <v>14</v>
      </c>
      <c r="D16" s="3"/>
      <c r="E16" s="40"/>
      <c r="F16" s="6"/>
      <c r="G16" s="3">
        <f t="shared" si="1"/>
        <v>0</v>
      </c>
      <c r="H16" s="4" t="e">
        <f t="shared" si="0"/>
        <v>#DIV/0!</v>
      </c>
      <c r="I16" s="4"/>
      <c r="J16" s="3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1"/>
        <v>0</v>
      </c>
      <c r="H17" s="4" t="e">
        <f t="shared" si="0"/>
        <v>#DIV/0!</v>
      </c>
      <c r="I17" s="4"/>
      <c r="J17" s="3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1"/>
        <v>0</v>
      </c>
      <c r="H18" s="4" t="e">
        <f t="shared" si="0"/>
        <v>#DIV/0!</v>
      </c>
      <c r="I18" s="4"/>
      <c r="J18" s="3"/>
    </row>
    <row r="19" spans="1:10" x14ac:dyDescent="0.25">
      <c r="A19" s="5"/>
      <c r="B19" s="3"/>
      <c r="C19" s="8">
        <v>17</v>
      </c>
      <c r="D19" s="3"/>
      <c r="E19" s="6"/>
      <c r="F19" s="6"/>
      <c r="G19" s="3">
        <f t="shared" si="1"/>
        <v>0</v>
      </c>
      <c r="H19" s="4" t="e">
        <f t="shared" si="0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1"/>
        <v>0</v>
      </c>
      <c r="H20" s="4" t="e">
        <f t="shared" si="0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1"/>
        <v>0</v>
      </c>
      <c r="H21" s="4" t="e">
        <f t="shared" si="0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1"/>
        <v>0</v>
      </c>
      <c r="H22" s="4" t="e">
        <f t="shared" si="0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1"/>
        <v>0</v>
      </c>
      <c r="H23" s="4" t="e">
        <f t="shared" si="0"/>
        <v>#DIV/0!</v>
      </c>
      <c r="I23" s="4"/>
      <c r="J23" s="3"/>
    </row>
    <row r="24" spans="1:10" x14ac:dyDescent="0.25">
      <c r="D24">
        <f>SUM(D3:D23)</f>
        <v>144</v>
      </c>
      <c r="I24" s="2">
        <f>SUM(I3:I23)</f>
        <v>484</v>
      </c>
    </row>
    <row r="25" spans="1:10" x14ac:dyDescent="0.25">
      <c r="B25">
        <f>SUM(Oct!B25+Nov!D24)</f>
        <v>9280</v>
      </c>
      <c r="H25" s="2">
        <f>SUM(Oct!H25+Nov!I24)</f>
        <v>35404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5"/>
  <sheetViews>
    <sheetView tabSelected="1" workbookViewId="0">
      <selection activeCell="J6" sqref="J6"/>
    </sheetView>
  </sheetViews>
  <sheetFormatPr baseColWidth="10" defaultRowHeight="15" x14ac:dyDescent="0.25"/>
  <cols>
    <col min="2" max="2" width="34.28515625" customWidth="1"/>
    <col min="3" max="3" width="4" customWidth="1"/>
    <col min="4" max="4" width="12" customWidth="1"/>
    <col min="5" max="5" width="5.7109375" style="1" customWidth="1"/>
    <col min="6" max="6" width="5.85546875" customWidth="1"/>
    <col min="7" max="7" width="5.7109375" customWidth="1"/>
    <col min="8" max="9" width="11.42578125" style="2"/>
    <col min="10" max="10" width="18.5703125" customWidth="1"/>
  </cols>
  <sheetData>
    <row r="1" spans="1:10" ht="27" thickBot="1" x14ac:dyDescent="0.45">
      <c r="A1" s="71" t="s">
        <v>18</v>
      </c>
      <c r="B1" s="71"/>
      <c r="C1" s="71"/>
      <c r="D1" s="71"/>
      <c r="E1" s="71"/>
      <c r="F1" s="71"/>
      <c r="G1" s="71"/>
      <c r="H1" s="27">
        <f>SUM(Janv!H1)</f>
        <v>2020</v>
      </c>
      <c r="I1" s="27"/>
      <c r="J1" s="27"/>
    </row>
    <row r="2" spans="1:10" ht="19.5" thickBot="1" x14ac:dyDescent="0.35">
      <c r="A2" s="11" t="s">
        <v>0</v>
      </c>
      <c r="B2" s="12" t="s">
        <v>1</v>
      </c>
      <c r="C2" s="12" t="s">
        <v>6</v>
      </c>
      <c r="D2" s="12" t="s">
        <v>2</v>
      </c>
      <c r="E2" s="70" t="s">
        <v>3</v>
      </c>
      <c r="F2" s="70"/>
      <c r="G2" s="70"/>
      <c r="H2" s="13" t="s">
        <v>4</v>
      </c>
      <c r="I2" s="32" t="s">
        <v>19</v>
      </c>
      <c r="J2" s="14" t="s">
        <v>5</v>
      </c>
    </row>
    <row r="3" spans="1:10" x14ac:dyDescent="0.25">
      <c r="A3" s="7">
        <v>44167</v>
      </c>
      <c r="B3" s="8" t="s">
        <v>135</v>
      </c>
      <c r="C3" s="8">
        <v>1</v>
      </c>
      <c r="D3" s="8">
        <v>74</v>
      </c>
      <c r="E3" s="9">
        <v>2</v>
      </c>
      <c r="F3" s="9">
        <v>57</v>
      </c>
      <c r="G3" s="8">
        <f>SUM(E3*60+F3)</f>
        <v>177</v>
      </c>
      <c r="H3" s="10">
        <f>SUM(D3/G3*60)</f>
        <v>25.084745762711862</v>
      </c>
      <c r="I3" s="10">
        <v>293</v>
      </c>
      <c r="J3" s="8"/>
    </row>
    <row r="4" spans="1:10" x14ac:dyDescent="0.25">
      <c r="A4" s="5">
        <v>44169</v>
      </c>
      <c r="B4" s="15" t="s">
        <v>136</v>
      </c>
      <c r="C4" s="8">
        <v>2</v>
      </c>
      <c r="D4" s="3">
        <v>75</v>
      </c>
      <c r="E4" s="6">
        <v>2</v>
      </c>
      <c r="F4" s="6">
        <v>51</v>
      </c>
      <c r="G4" s="3">
        <f t="shared" ref="G4:G23" si="0">SUM(E4*60+F4)</f>
        <v>171</v>
      </c>
      <c r="H4" s="4">
        <f t="shared" ref="H4:H23" si="1">SUM(D4/G4*60)</f>
        <v>26.315789473684209</v>
      </c>
      <c r="I4" s="10">
        <v>266</v>
      </c>
      <c r="J4" s="8"/>
    </row>
    <row r="5" spans="1:10" x14ac:dyDescent="0.25">
      <c r="A5" s="16">
        <v>44173</v>
      </c>
      <c r="B5" s="15" t="s">
        <v>137</v>
      </c>
      <c r="C5" s="17">
        <v>3</v>
      </c>
      <c r="D5" s="15">
        <v>65</v>
      </c>
      <c r="E5" s="18">
        <v>2</v>
      </c>
      <c r="F5" s="18">
        <v>38</v>
      </c>
      <c r="G5" s="15">
        <f t="shared" si="0"/>
        <v>158</v>
      </c>
      <c r="H5" s="19">
        <f t="shared" si="1"/>
        <v>24.683544303797468</v>
      </c>
      <c r="I5" s="19">
        <v>296</v>
      </c>
      <c r="J5" s="15"/>
    </row>
    <row r="6" spans="1:10" x14ac:dyDescent="0.25">
      <c r="A6" s="65">
        <v>44173</v>
      </c>
      <c r="B6" s="66" t="s">
        <v>138</v>
      </c>
      <c r="C6" s="67">
        <v>4</v>
      </c>
      <c r="D6" s="66">
        <v>20</v>
      </c>
      <c r="E6" s="68">
        <v>0</v>
      </c>
      <c r="F6" s="68">
        <v>49</v>
      </c>
      <c r="G6" s="66">
        <f t="shared" si="0"/>
        <v>49</v>
      </c>
      <c r="H6" s="69">
        <f t="shared" si="1"/>
        <v>24.489795918367349</v>
      </c>
      <c r="I6" s="69">
        <v>27</v>
      </c>
      <c r="J6" s="15" t="s">
        <v>145</v>
      </c>
    </row>
    <row r="7" spans="1:10" x14ac:dyDescent="0.25">
      <c r="A7" s="16">
        <v>44177</v>
      </c>
      <c r="B7" s="15" t="s">
        <v>139</v>
      </c>
      <c r="C7" s="17">
        <v>5</v>
      </c>
      <c r="D7" s="15">
        <v>76</v>
      </c>
      <c r="E7" s="18">
        <v>2</v>
      </c>
      <c r="F7" s="18">
        <v>57</v>
      </c>
      <c r="G7" s="15">
        <f t="shared" si="0"/>
        <v>177</v>
      </c>
      <c r="H7" s="19">
        <f t="shared" si="1"/>
        <v>25.762711864406779</v>
      </c>
      <c r="I7" s="19">
        <v>324</v>
      </c>
      <c r="J7" s="15"/>
    </row>
    <row r="8" spans="1:10" x14ac:dyDescent="0.25">
      <c r="A8" s="16">
        <v>44180</v>
      </c>
      <c r="B8" s="15" t="s">
        <v>140</v>
      </c>
      <c r="C8" s="17">
        <v>6</v>
      </c>
      <c r="D8" s="15">
        <v>89</v>
      </c>
      <c r="E8" s="18">
        <v>3</v>
      </c>
      <c r="F8" s="18">
        <v>34</v>
      </c>
      <c r="G8" s="15">
        <f t="shared" si="0"/>
        <v>214</v>
      </c>
      <c r="H8" s="19">
        <f t="shared" si="1"/>
        <v>24.953271028037381</v>
      </c>
      <c r="I8" s="19">
        <v>496</v>
      </c>
      <c r="J8" s="15"/>
    </row>
    <row r="9" spans="1:10" x14ac:dyDescent="0.25">
      <c r="A9" s="16">
        <v>44182</v>
      </c>
      <c r="B9" s="8" t="s">
        <v>141</v>
      </c>
      <c r="C9" s="17">
        <v>7</v>
      </c>
      <c r="D9" s="15">
        <v>91</v>
      </c>
      <c r="E9" s="18">
        <v>3</v>
      </c>
      <c r="F9" s="18">
        <v>38</v>
      </c>
      <c r="G9" s="15">
        <f t="shared" si="0"/>
        <v>218</v>
      </c>
      <c r="H9" s="19">
        <f t="shared" si="1"/>
        <v>25.045871559633028</v>
      </c>
      <c r="I9" s="19">
        <v>421</v>
      </c>
      <c r="J9" s="15"/>
    </row>
    <row r="10" spans="1:10" x14ac:dyDescent="0.25">
      <c r="A10" s="5">
        <v>44185</v>
      </c>
      <c r="B10" s="15" t="s">
        <v>142</v>
      </c>
      <c r="C10" s="8">
        <v>8</v>
      </c>
      <c r="D10" s="3">
        <v>71</v>
      </c>
      <c r="E10" s="6">
        <v>2</v>
      </c>
      <c r="F10" s="6">
        <v>47</v>
      </c>
      <c r="G10" s="3">
        <f t="shared" si="0"/>
        <v>167</v>
      </c>
      <c r="H10" s="4">
        <f t="shared" si="1"/>
        <v>25.508982035928145</v>
      </c>
      <c r="I10" s="10">
        <v>302</v>
      </c>
      <c r="J10" s="8"/>
    </row>
    <row r="11" spans="1:10" x14ac:dyDescent="0.25">
      <c r="A11" s="65">
        <v>44561</v>
      </c>
      <c r="B11" s="66" t="s">
        <v>143</v>
      </c>
      <c r="C11" s="67">
        <v>9</v>
      </c>
      <c r="D11" s="66">
        <v>57</v>
      </c>
      <c r="E11" s="68">
        <v>2</v>
      </c>
      <c r="F11" s="68">
        <v>24</v>
      </c>
      <c r="G11" s="66">
        <f t="shared" si="0"/>
        <v>144</v>
      </c>
      <c r="H11" s="69">
        <f t="shared" si="1"/>
        <v>23.75</v>
      </c>
      <c r="I11" s="69">
        <v>240</v>
      </c>
      <c r="J11" s="3" t="s">
        <v>144</v>
      </c>
    </row>
    <row r="12" spans="1:10" x14ac:dyDescent="0.25">
      <c r="A12" s="5"/>
      <c r="B12" s="3"/>
      <c r="C12" s="8">
        <v>10</v>
      </c>
      <c r="D12" s="3"/>
      <c r="E12" s="6"/>
      <c r="F12" s="6"/>
      <c r="G12" s="3">
        <f t="shared" si="0"/>
        <v>0</v>
      </c>
      <c r="H12" s="4" t="e">
        <f t="shared" si="1"/>
        <v>#DIV/0!</v>
      </c>
      <c r="I12" s="4"/>
      <c r="J12" s="3"/>
    </row>
    <row r="13" spans="1:10" x14ac:dyDescent="0.25">
      <c r="A13" s="5"/>
      <c r="B13" s="3"/>
      <c r="C13" s="8">
        <v>11</v>
      </c>
      <c r="D13" s="3"/>
      <c r="E13" s="6"/>
      <c r="F13" s="6"/>
      <c r="G13" s="3">
        <f t="shared" si="0"/>
        <v>0</v>
      </c>
      <c r="H13" s="4" t="e">
        <f t="shared" si="1"/>
        <v>#DIV/0!</v>
      </c>
      <c r="I13" s="4"/>
      <c r="J13" s="3"/>
    </row>
    <row r="14" spans="1:10" x14ac:dyDescent="0.25">
      <c r="A14" s="5"/>
      <c r="B14" s="3"/>
      <c r="C14" s="8">
        <v>12</v>
      </c>
      <c r="D14" s="3"/>
      <c r="E14" s="6"/>
      <c r="F14" s="6"/>
      <c r="G14" s="3">
        <f t="shared" si="0"/>
        <v>0</v>
      </c>
      <c r="H14" s="4" t="e">
        <f t="shared" si="1"/>
        <v>#DIV/0!</v>
      </c>
      <c r="I14" s="4"/>
      <c r="J14" s="3"/>
    </row>
    <row r="15" spans="1:10" x14ac:dyDescent="0.25">
      <c r="A15" s="5"/>
      <c r="B15" s="3"/>
      <c r="C15" s="8">
        <v>13</v>
      </c>
      <c r="D15" s="3"/>
      <c r="E15" s="6"/>
      <c r="F15" s="6"/>
      <c r="G15" s="3">
        <f t="shared" si="0"/>
        <v>0</v>
      </c>
      <c r="H15" s="4" t="e">
        <f t="shared" si="1"/>
        <v>#DIV/0!</v>
      </c>
      <c r="I15" s="4"/>
      <c r="J15" s="3"/>
    </row>
    <row r="16" spans="1:10" x14ac:dyDescent="0.25">
      <c r="A16" s="5"/>
      <c r="B16" s="3"/>
      <c r="C16" s="8">
        <v>14</v>
      </c>
      <c r="D16" s="3"/>
      <c r="E16" s="6"/>
      <c r="F16" s="6"/>
      <c r="G16" s="3">
        <f t="shared" si="0"/>
        <v>0</v>
      </c>
      <c r="H16" s="4" t="e">
        <f t="shared" si="1"/>
        <v>#DIV/0!</v>
      </c>
      <c r="I16" s="4"/>
      <c r="J16" s="3"/>
    </row>
    <row r="17" spans="1:10" x14ac:dyDescent="0.25">
      <c r="A17" s="5"/>
      <c r="B17" s="3"/>
      <c r="C17" s="8">
        <v>15</v>
      </c>
      <c r="D17" s="3"/>
      <c r="E17" s="6"/>
      <c r="F17" s="6"/>
      <c r="G17" s="3">
        <f t="shared" si="0"/>
        <v>0</v>
      </c>
      <c r="H17" s="4" t="e">
        <f t="shared" si="1"/>
        <v>#DIV/0!</v>
      </c>
      <c r="I17" s="4"/>
      <c r="J17" s="3"/>
    </row>
    <row r="18" spans="1:10" x14ac:dyDescent="0.25">
      <c r="A18" s="5"/>
      <c r="B18" s="3"/>
      <c r="C18" s="8">
        <v>16</v>
      </c>
      <c r="D18" s="3"/>
      <c r="E18" s="6"/>
      <c r="F18" s="6"/>
      <c r="G18" s="3">
        <f t="shared" si="0"/>
        <v>0</v>
      </c>
      <c r="H18" s="4" t="e">
        <f t="shared" si="1"/>
        <v>#DIV/0!</v>
      </c>
      <c r="I18" s="4"/>
      <c r="J18" s="3"/>
    </row>
    <row r="19" spans="1:10" x14ac:dyDescent="0.25">
      <c r="A19" s="5"/>
      <c r="B19" s="3"/>
      <c r="C19" s="8">
        <v>17</v>
      </c>
      <c r="D19" s="3"/>
      <c r="E19" s="6"/>
      <c r="F19" s="6"/>
      <c r="G19" s="3">
        <f t="shared" si="0"/>
        <v>0</v>
      </c>
      <c r="H19" s="4" t="e">
        <f t="shared" si="1"/>
        <v>#DIV/0!</v>
      </c>
      <c r="I19" s="4"/>
      <c r="J19" s="3"/>
    </row>
    <row r="20" spans="1:10" x14ac:dyDescent="0.25">
      <c r="A20" s="5"/>
      <c r="B20" s="3"/>
      <c r="C20" s="8">
        <v>18</v>
      </c>
      <c r="D20" s="3"/>
      <c r="E20" s="6"/>
      <c r="F20" s="6"/>
      <c r="G20" s="3">
        <f t="shared" si="0"/>
        <v>0</v>
      </c>
      <c r="H20" s="4" t="e">
        <f t="shared" si="1"/>
        <v>#DIV/0!</v>
      </c>
      <c r="I20" s="4"/>
      <c r="J20" s="3"/>
    </row>
    <row r="21" spans="1:10" x14ac:dyDescent="0.25">
      <c r="A21" s="5"/>
      <c r="B21" s="3"/>
      <c r="C21" s="8">
        <v>19</v>
      </c>
      <c r="D21" s="3"/>
      <c r="E21" s="6"/>
      <c r="F21" s="6"/>
      <c r="G21" s="3">
        <f t="shared" si="0"/>
        <v>0</v>
      </c>
      <c r="H21" s="4" t="e">
        <f t="shared" si="1"/>
        <v>#DIV/0!</v>
      </c>
      <c r="I21" s="4"/>
      <c r="J21" s="3"/>
    </row>
    <row r="22" spans="1:10" x14ac:dyDescent="0.25">
      <c r="A22" s="5"/>
      <c r="B22" s="3"/>
      <c r="C22" s="8">
        <v>20</v>
      </c>
      <c r="D22" s="3"/>
      <c r="E22" s="6"/>
      <c r="F22" s="6"/>
      <c r="G22" s="3">
        <f t="shared" si="0"/>
        <v>0</v>
      </c>
      <c r="H22" s="4" t="e">
        <f t="shared" si="1"/>
        <v>#DIV/0!</v>
      </c>
      <c r="I22" s="4"/>
      <c r="J22" s="3"/>
    </row>
    <row r="23" spans="1:10" x14ac:dyDescent="0.25">
      <c r="A23" s="5"/>
      <c r="B23" s="3"/>
      <c r="C23" s="3"/>
      <c r="D23" s="3"/>
      <c r="E23" s="6"/>
      <c r="F23" s="6"/>
      <c r="G23" s="3">
        <f t="shared" si="0"/>
        <v>0</v>
      </c>
      <c r="H23" s="4" t="e">
        <f t="shared" si="1"/>
        <v>#DIV/0!</v>
      </c>
      <c r="I23" s="4"/>
      <c r="J23" s="3"/>
    </row>
    <row r="24" spans="1:10" x14ac:dyDescent="0.25">
      <c r="D24">
        <f>SUM(D3:D23)</f>
        <v>618</v>
      </c>
      <c r="I24" s="2">
        <f>SUM(I3:I23)</f>
        <v>2665</v>
      </c>
    </row>
    <row r="25" spans="1:10" x14ac:dyDescent="0.25">
      <c r="B25">
        <f>SUM(Nov!B25+Déc!D24)</f>
        <v>9898</v>
      </c>
      <c r="H25" s="2">
        <f>SUM(Nov!H25+Déc!I24)</f>
        <v>38069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</cp:lastModifiedBy>
  <dcterms:created xsi:type="dcterms:W3CDTF">2015-01-07T20:15:24Z</dcterms:created>
  <dcterms:modified xsi:type="dcterms:W3CDTF">2021-01-02T15:26:22Z</dcterms:modified>
</cp:coreProperties>
</file>