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\Documents\Cyclo\suiviPerf\"/>
    </mc:Choice>
  </mc:AlternateContent>
  <xr:revisionPtr revIDLastSave="0" documentId="13_ncr:1_{3F8C4F2D-FE34-4077-972F-42B3D6B2A04E}" xr6:coauthVersionLast="47" xr6:coauthVersionMax="47" xr10:uidLastSave="{00000000-0000-0000-0000-000000000000}"/>
  <bookViews>
    <workbookView xWindow="7200" yWindow="3525" windowWidth="21600" windowHeight="11385" firstSheet="3" activeTab="11" xr2:uid="{00000000-000D-0000-FFFF-FFFF00000000}"/>
  </bookViews>
  <sheets>
    <sheet name="Janv" sheetId="1" r:id="rId1"/>
    <sheet name="Fév" sheetId="2" r:id="rId2"/>
    <sheet name="Mar" sheetId="3" r:id="rId3"/>
    <sheet name="Avr" sheetId="4" r:id="rId4"/>
    <sheet name="Mai" sheetId="5" r:id="rId5"/>
    <sheet name="Juin" sheetId="6" r:id="rId6"/>
    <sheet name="Juil" sheetId="7" r:id="rId7"/>
    <sheet name="Aout" sheetId="8" r:id="rId8"/>
    <sheet name="Sept" sheetId="9" r:id="rId9"/>
    <sheet name="Oct" sheetId="10" r:id="rId10"/>
    <sheet name="Nov" sheetId="11" r:id="rId11"/>
    <sheet name="Déc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9" i="11" l="1"/>
  <c r="L30" i="11" s="1"/>
  <c r="K29" i="11"/>
  <c r="L29" i="12"/>
  <c r="K29" i="12"/>
  <c r="L29" i="10"/>
  <c r="K29" i="10"/>
  <c r="L29" i="9"/>
  <c r="K29" i="9"/>
  <c r="L29" i="8"/>
  <c r="K29" i="8"/>
  <c r="L29" i="7"/>
  <c r="K29" i="7"/>
  <c r="I26" i="7"/>
  <c r="D26" i="7"/>
  <c r="G27" i="6"/>
  <c r="H27" i="6" s="1"/>
  <c r="G26" i="6"/>
  <c r="H26" i="6" s="1"/>
  <c r="G25" i="6"/>
  <c r="H25" i="6" s="1"/>
  <c r="G24" i="6"/>
  <c r="H24" i="6" s="1"/>
  <c r="G23" i="6"/>
  <c r="H23" i="6" s="1"/>
  <c r="G9" i="6"/>
  <c r="L29" i="6"/>
  <c r="K29" i="6"/>
  <c r="L24" i="5"/>
  <c r="K24" i="5"/>
  <c r="L24" i="4"/>
  <c r="K24" i="4"/>
  <c r="L24" i="3"/>
  <c r="K24" i="3"/>
  <c r="L24" i="2"/>
  <c r="L25" i="2" s="1"/>
  <c r="K24" i="2"/>
  <c r="L24" i="1"/>
  <c r="K24" i="1"/>
  <c r="K25" i="3" l="1"/>
  <c r="K25" i="4" s="1"/>
  <c r="K25" i="5" s="1"/>
  <c r="K30" i="6" s="1"/>
  <c r="K30" i="7" s="1"/>
  <c r="K30" i="8" s="1"/>
  <c r="K30" i="9" s="1"/>
  <c r="K30" i="10" s="1"/>
  <c r="K30" i="11" s="1"/>
  <c r="K30" i="12" s="1"/>
  <c r="K25" i="2"/>
  <c r="L25" i="3"/>
  <c r="L25" i="4" s="1"/>
  <c r="L25" i="5" s="1"/>
  <c r="L30" i="6" s="1"/>
  <c r="L30" i="7" s="1"/>
  <c r="L30" i="8" s="1"/>
  <c r="L30" i="9" s="1"/>
  <c r="L30" i="10" s="1"/>
  <c r="L30" i="12" s="1"/>
  <c r="G3" i="10"/>
  <c r="G21" i="7" l="1"/>
  <c r="G12" i="8" l="1"/>
  <c r="H12" i="8" s="1"/>
  <c r="G7" i="8"/>
  <c r="H7" i="8" s="1"/>
  <c r="G24" i="7"/>
  <c r="H24" i="7" s="1"/>
  <c r="G23" i="7"/>
  <c r="H23" i="7" s="1"/>
  <c r="G11" i="7"/>
  <c r="H11" i="7" s="1"/>
  <c r="G10" i="7"/>
  <c r="H10" i="7" s="1"/>
  <c r="I24" i="11"/>
  <c r="I24" i="10"/>
  <c r="I24" i="9"/>
  <c r="I24" i="8"/>
  <c r="I29" i="6"/>
  <c r="I24" i="5"/>
  <c r="I24" i="4"/>
  <c r="I24" i="3"/>
  <c r="I24" i="2"/>
  <c r="I24" i="1"/>
  <c r="H25" i="1" s="1"/>
  <c r="I24" i="12"/>
  <c r="H1" i="12"/>
  <c r="H1" i="11"/>
  <c r="H1" i="10"/>
  <c r="H1" i="9"/>
  <c r="H1" i="8"/>
  <c r="H1" i="7"/>
  <c r="H1" i="6"/>
  <c r="H1" i="4"/>
  <c r="H1" i="5"/>
  <c r="H1" i="3"/>
  <c r="H1" i="2"/>
  <c r="G3" i="5"/>
  <c r="H3" i="5" s="1"/>
  <c r="G4" i="5"/>
  <c r="H4" i="5" s="1"/>
  <c r="G5" i="5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G22" i="5"/>
  <c r="H22" i="5" s="1"/>
  <c r="G23" i="5"/>
  <c r="H23" i="5" s="1"/>
  <c r="G3" i="12"/>
  <c r="H3" i="12" s="1"/>
  <c r="G4" i="12"/>
  <c r="H4" i="12" s="1"/>
  <c r="G5" i="12"/>
  <c r="H5" i="12" s="1"/>
  <c r="G6" i="12"/>
  <c r="H6" i="12" s="1"/>
  <c r="G7" i="12"/>
  <c r="H7" i="12" s="1"/>
  <c r="G8" i="12"/>
  <c r="H8" i="12" s="1"/>
  <c r="G9" i="12"/>
  <c r="H9" i="12" s="1"/>
  <c r="G10" i="12"/>
  <c r="H10" i="12" s="1"/>
  <c r="G11" i="12"/>
  <c r="H11" i="12" s="1"/>
  <c r="G12" i="12"/>
  <c r="H12" i="12" s="1"/>
  <c r="G13" i="12"/>
  <c r="H13" i="12" s="1"/>
  <c r="G14" i="12"/>
  <c r="H14" i="12" s="1"/>
  <c r="G16" i="11"/>
  <c r="H16" i="11" s="1"/>
  <c r="G22" i="8"/>
  <c r="G21" i="8"/>
  <c r="H21" i="8" s="1"/>
  <c r="G20" i="8"/>
  <c r="G19" i="8"/>
  <c r="H19" i="8" s="1"/>
  <c r="G18" i="8"/>
  <c r="H18" i="8" s="1"/>
  <c r="G17" i="8"/>
  <c r="H17" i="8" s="1"/>
  <c r="G16" i="8"/>
  <c r="H16" i="8" s="1"/>
  <c r="G15" i="8"/>
  <c r="H15" i="8" s="1"/>
  <c r="G14" i="8"/>
  <c r="H14" i="8" s="1"/>
  <c r="G13" i="8"/>
  <c r="H13" i="8" s="1"/>
  <c r="G11" i="8"/>
  <c r="H11" i="8" s="1"/>
  <c r="G10" i="8"/>
  <c r="H10" i="8" s="1"/>
  <c r="G9" i="8"/>
  <c r="H9" i="8" s="1"/>
  <c r="G8" i="8"/>
  <c r="H8" i="8" s="1"/>
  <c r="G6" i="8"/>
  <c r="H6" i="8" s="1"/>
  <c r="G5" i="8"/>
  <c r="H5" i="8" s="1"/>
  <c r="G4" i="8"/>
  <c r="H4" i="8" s="1"/>
  <c r="G3" i="8"/>
  <c r="H3" i="8" s="1"/>
  <c r="G22" i="7"/>
  <c r="H22" i="7" s="1"/>
  <c r="G20" i="6"/>
  <c r="H20" i="6" s="1"/>
  <c r="G19" i="6"/>
  <c r="H19" i="6" s="1"/>
  <c r="G18" i="6"/>
  <c r="H18" i="6" s="1"/>
  <c r="G17" i="6"/>
  <c r="H17" i="6" s="1"/>
  <c r="G16" i="6"/>
  <c r="H16" i="6" s="1"/>
  <c r="G15" i="6"/>
  <c r="H15" i="6" s="1"/>
  <c r="G14" i="6"/>
  <c r="H14" i="6" s="1"/>
  <c r="G13" i="6"/>
  <c r="H13" i="6" s="1"/>
  <c r="G12" i="6"/>
  <c r="H12" i="6" s="1"/>
  <c r="G11" i="6"/>
  <c r="H11" i="6" s="1"/>
  <c r="G10" i="6"/>
  <c r="H10" i="6" s="1"/>
  <c r="H9" i="6"/>
  <c r="G8" i="6"/>
  <c r="H8" i="6" s="1"/>
  <c r="G7" i="6"/>
  <c r="H7" i="6" s="1"/>
  <c r="G6" i="6"/>
  <c r="H6" i="6" s="1"/>
  <c r="G5" i="6"/>
  <c r="H5" i="6" s="1"/>
  <c r="G4" i="6"/>
  <c r="H4" i="6" s="1"/>
  <c r="G3" i="6"/>
  <c r="H3" i="6" s="1"/>
  <c r="G13" i="4"/>
  <c r="H13" i="4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2" i="11"/>
  <c r="H12" i="11" s="1"/>
  <c r="G9" i="9"/>
  <c r="H9" i="9" s="1"/>
  <c r="G7" i="9"/>
  <c r="H7" i="9" s="1"/>
  <c r="G6" i="9"/>
  <c r="H6" i="9" s="1"/>
  <c r="G8" i="4"/>
  <c r="H8" i="4" s="1"/>
  <c r="D24" i="12"/>
  <c r="G23" i="12"/>
  <c r="H23" i="12" s="1"/>
  <c r="G22" i="12"/>
  <c r="H22" i="12" s="1"/>
  <c r="G21" i="12"/>
  <c r="H21" i="12" s="1"/>
  <c r="G20" i="12"/>
  <c r="H20" i="12" s="1"/>
  <c r="G19" i="12"/>
  <c r="H19" i="12" s="1"/>
  <c r="G18" i="12"/>
  <c r="H18" i="12" s="1"/>
  <c r="G17" i="12"/>
  <c r="H17" i="12" s="1"/>
  <c r="G16" i="12"/>
  <c r="H16" i="12" s="1"/>
  <c r="G15" i="12"/>
  <c r="H15" i="12" s="1"/>
  <c r="D24" i="11"/>
  <c r="G23" i="11"/>
  <c r="H23" i="11" s="1"/>
  <c r="G22" i="11"/>
  <c r="H22" i="11" s="1"/>
  <c r="G21" i="11"/>
  <c r="H21" i="11" s="1"/>
  <c r="G20" i="11"/>
  <c r="H20" i="11" s="1"/>
  <c r="G19" i="11"/>
  <c r="H19" i="11" s="1"/>
  <c r="G18" i="11"/>
  <c r="H18" i="11" s="1"/>
  <c r="G17" i="11"/>
  <c r="H17" i="11" s="1"/>
  <c r="G15" i="11"/>
  <c r="H15" i="11" s="1"/>
  <c r="G14" i="11"/>
  <c r="H14" i="11" s="1"/>
  <c r="G13" i="11"/>
  <c r="H13" i="11" s="1"/>
  <c r="G11" i="11"/>
  <c r="H11" i="11" s="1"/>
  <c r="G10" i="11"/>
  <c r="H10" i="11" s="1"/>
  <c r="G9" i="11"/>
  <c r="H9" i="11" s="1"/>
  <c r="G8" i="11"/>
  <c r="H8" i="11" s="1"/>
  <c r="G7" i="11"/>
  <c r="H7" i="11" s="1"/>
  <c r="G6" i="11"/>
  <c r="H6" i="11" s="1"/>
  <c r="G5" i="11"/>
  <c r="H5" i="11" s="1"/>
  <c r="G4" i="11"/>
  <c r="H4" i="11" s="1"/>
  <c r="G3" i="11"/>
  <c r="H3" i="11" s="1"/>
  <c r="D24" i="10"/>
  <c r="G23" i="10"/>
  <c r="H23" i="10" s="1"/>
  <c r="G22" i="10"/>
  <c r="H22" i="10" s="1"/>
  <c r="G21" i="10"/>
  <c r="H21" i="10" s="1"/>
  <c r="G20" i="10"/>
  <c r="H20" i="10" s="1"/>
  <c r="G19" i="10"/>
  <c r="H19" i="10" s="1"/>
  <c r="G18" i="10"/>
  <c r="H18" i="10" s="1"/>
  <c r="G17" i="10"/>
  <c r="H17" i="10" s="1"/>
  <c r="G16" i="10"/>
  <c r="H16" i="10" s="1"/>
  <c r="G15" i="10"/>
  <c r="H15" i="10" s="1"/>
  <c r="G14" i="10"/>
  <c r="H14" i="10" s="1"/>
  <c r="G13" i="10"/>
  <c r="H13" i="10" s="1"/>
  <c r="G12" i="10"/>
  <c r="H12" i="10" s="1"/>
  <c r="G11" i="10"/>
  <c r="H11" i="10" s="1"/>
  <c r="G10" i="10"/>
  <c r="H10" i="10" s="1"/>
  <c r="G9" i="10"/>
  <c r="H9" i="10" s="1"/>
  <c r="G8" i="10"/>
  <c r="H8" i="10" s="1"/>
  <c r="G7" i="10"/>
  <c r="H7" i="10" s="1"/>
  <c r="G6" i="10"/>
  <c r="H6" i="10" s="1"/>
  <c r="G5" i="10"/>
  <c r="H5" i="10" s="1"/>
  <c r="G4" i="10"/>
  <c r="H4" i="10" s="1"/>
  <c r="H3" i="10"/>
  <c r="D24" i="9"/>
  <c r="G23" i="9"/>
  <c r="H23" i="9" s="1"/>
  <c r="G22" i="9"/>
  <c r="H22" i="9" s="1"/>
  <c r="G21" i="9"/>
  <c r="H21" i="9" s="1"/>
  <c r="G20" i="9"/>
  <c r="H20" i="9" s="1"/>
  <c r="G19" i="9"/>
  <c r="H19" i="9" s="1"/>
  <c r="G18" i="9"/>
  <c r="H18" i="9" s="1"/>
  <c r="G17" i="9"/>
  <c r="H17" i="9" s="1"/>
  <c r="G16" i="9"/>
  <c r="H16" i="9" s="1"/>
  <c r="G15" i="9"/>
  <c r="H15" i="9" s="1"/>
  <c r="G14" i="9"/>
  <c r="H14" i="9" s="1"/>
  <c r="G13" i="9"/>
  <c r="H13" i="9" s="1"/>
  <c r="G12" i="9"/>
  <c r="H12" i="9" s="1"/>
  <c r="G11" i="9"/>
  <c r="H11" i="9" s="1"/>
  <c r="G10" i="9"/>
  <c r="H10" i="9" s="1"/>
  <c r="G8" i="9"/>
  <c r="H8" i="9" s="1"/>
  <c r="G5" i="9"/>
  <c r="H5" i="9" s="1"/>
  <c r="G4" i="9"/>
  <c r="H4" i="9" s="1"/>
  <c r="G3" i="9"/>
  <c r="H3" i="9" s="1"/>
  <c r="D25" i="8"/>
  <c r="G23" i="8"/>
  <c r="H23" i="8" s="1"/>
  <c r="H22" i="8"/>
  <c r="H20" i="8"/>
  <c r="G25" i="7"/>
  <c r="H25" i="7" s="1"/>
  <c r="H21" i="7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H12" i="7" s="1"/>
  <c r="G9" i="7"/>
  <c r="H9" i="7" s="1"/>
  <c r="G8" i="7"/>
  <c r="H8" i="7" s="1"/>
  <c r="G7" i="7"/>
  <c r="H7" i="7" s="1"/>
  <c r="G6" i="7"/>
  <c r="H6" i="7" s="1"/>
  <c r="G5" i="7"/>
  <c r="H5" i="7" s="1"/>
  <c r="G4" i="7"/>
  <c r="H4" i="7" s="1"/>
  <c r="G3" i="7"/>
  <c r="H3" i="7" s="1"/>
  <c r="D29" i="6"/>
  <c r="G28" i="6"/>
  <c r="H28" i="6" s="1"/>
  <c r="G22" i="6"/>
  <c r="H22" i="6" s="1"/>
  <c r="G21" i="6"/>
  <c r="H21" i="6" s="1"/>
  <c r="D24" i="5"/>
  <c r="H21" i="5"/>
  <c r="D24" i="4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2" i="4"/>
  <c r="H12" i="4" s="1"/>
  <c r="G11" i="4"/>
  <c r="H11" i="4" s="1"/>
  <c r="G10" i="4"/>
  <c r="H10" i="4" s="1"/>
  <c r="G9" i="4"/>
  <c r="H9" i="4" s="1"/>
  <c r="G7" i="4"/>
  <c r="H7" i="4" s="1"/>
  <c r="G6" i="4"/>
  <c r="H6" i="4" s="1"/>
  <c r="G5" i="4"/>
  <c r="H5" i="4" s="1"/>
  <c r="G4" i="4"/>
  <c r="H4" i="4" s="1"/>
  <c r="G3" i="4"/>
  <c r="H3" i="4" s="1"/>
  <c r="G23" i="1"/>
  <c r="H23" i="1" s="1"/>
  <c r="D24" i="3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G4" i="3"/>
  <c r="H4" i="3" s="1"/>
  <c r="G3" i="3"/>
  <c r="H3" i="3" s="1"/>
  <c r="D24" i="2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3" i="2" s="1"/>
  <c r="D24" i="1"/>
  <c r="B25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H25" i="2" l="1"/>
  <c r="H25" i="3" s="1"/>
  <c r="H25" i="4" s="1"/>
  <c r="H25" i="5" s="1"/>
  <c r="H30" i="6" s="1"/>
  <c r="H27" i="7" s="1"/>
  <c r="H25" i="8" s="1"/>
  <c r="H25" i="9" s="1"/>
  <c r="H25" i="10" s="1"/>
  <c r="H25" i="11" s="1"/>
  <c r="H25" i="12" s="1"/>
  <c r="B25" i="2"/>
  <c r="B25" i="3" s="1"/>
  <c r="B25" i="4" s="1"/>
  <c r="B25" i="5" s="1"/>
  <c r="B30" i="6" s="1"/>
  <c r="B27" i="7" s="1"/>
  <c r="B26" i="8" s="1"/>
  <c r="B25" i="9" s="1"/>
  <c r="B25" i="10" s="1"/>
  <c r="B25" i="11" s="1"/>
  <c r="B25" i="12" s="1"/>
</calcChain>
</file>

<file path=xl/sharedStrings.xml><?xml version="1.0" encoding="utf-8"?>
<sst xmlns="http://schemas.openxmlformats.org/spreadsheetml/2006/main" count="343" uniqueCount="192">
  <si>
    <t>Dates</t>
  </si>
  <si>
    <t>Désignation Sorties</t>
  </si>
  <si>
    <t>Distances</t>
  </si>
  <si>
    <t>Durées</t>
  </si>
  <si>
    <t>Vit. Moy.</t>
  </si>
  <si>
    <t>Remarques</t>
  </si>
  <si>
    <t>Nb</t>
  </si>
  <si>
    <t xml:space="preserve">Suivi Performances Janvier </t>
  </si>
  <si>
    <t>Suivi Performances Février</t>
  </si>
  <si>
    <t xml:space="preserve">Suivi Performances Mars </t>
  </si>
  <si>
    <t xml:space="preserve">Suivi Performances Avril </t>
  </si>
  <si>
    <t xml:space="preserve">Suivi Performances Mai </t>
  </si>
  <si>
    <t xml:space="preserve">Suivi Performances Juin </t>
  </si>
  <si>
    <t>Suivi Performances Juillet</t>
  </si>
  <si>
    <t xml:space="preserve">Suivi Performances Août </t>
  </si>
  <si>
    <t>Suivi Performances Septembre</t>
  </si>
  <si>
    <t xml:space="preserve">Suivi Performances Octobre </t>
  </si>
  <si>
    <t xml:space="preserve">Suivi Performances Novembre </t>
  </si>
  <si>
    <t xml:space="preserve">Suivi Performances Décembre </t>
  </si>
  <si>
    <t>Dév +</t>
  </si>
  <si>
    <t>Chinon Chacé Morton</t>
  </si>
  <si>
    <t>Brochard</t>
  </si>
  <si>
    <t>S1NEO</t>
  </si>
  <si>
    <t>Avoine Benais Les Essards Langeais</t>
  </si>
  <si>
    <t>Avoine Les Essarts Gizeux Brain</t>
  </si>
  <si>
    <t xml:space="preserve">Avoine Continvoir La Breille Brain </t>
  </si>
  <si>
    <t>Avoine Couesmé basses couziers</t>
  </si>
  <si>
    <t>Chinon Roiffé 3Moutiers Ceaux</t>
  </si>
  <si>
    <t>Avoine Ile St Martin</t>
  </si>
  <si>
    <t>Chinon Candes Lerné Basses ceaux</t>
  </si>
  <si>
    <t>Avoine Bournand Raslay Chacé</t>
  </si>
  <si>
    <t>Chinon Candes Couziers Insay Basse Marçay</t>
  </si>
  <si>
    <t>Chinon IB Luzé Braslou Marçay</t>
  </si>
  <si>
    <t>Avoine Langeais Ingrandes</t>
  </si>
  <si>
    <t>Avoine Cravant Rivarennes</t>
  </si>
  <si>
    <t>Chinon Azay Saché St Epain</t>
  </si>
  <si>
    <t>Balade USEAB</t>
  </si>
  <si>
    <t>Chinon Bournand Maulay ceaux</t>
  </si>
  <si>
    <t>Avoine Montreuil Morton fontevraud</t>
  </si>
  <si>
    <t>Avoine Chinon lémeré La Tour Marçay</t>
  </si>
  <si>
    <t xml:space="preserve">Balade USEAB </t>
  </si>
  <si>
    <t>Avec LOUIS</t>
  </si>
  <si>
    <t>Chinon Chacé vaudelnay Morton</t>
  </si>
  <si>
    <t>Avoine Couziers 3 Moutiers Terany candes</t>
  </si>
  <si>
    <t>Avoine Avrillé ingrandes Chinon</t>
  </si>
  <si>
    <t xml:space="preserve">Chute Jean </t>
  </si>
  <si>
    <t>Avoine Balade USEAB</t>
  </si>
  <si>
    <t>Ste Flaive les Loups</t>
  </si>
  <si>
    <t>Avec Lucile</t>
  </si>
  <si>
    <t>Avec Louis</t>
  </si>
  <si>
    <t>Chinon Benais Rillé Vernoil Brain</t>
  </si>
  <si>
    <t>Avoine Continvoir Cléré Langeais</t>
  </si>
  <si>
    <t>Avoine Balade Louis</t>
  </si>
  <si>
    <t>Chinon St Epain Druye Bréhémont</t>
  </si>
  <si>
    <t>Avoine Rigny Balade</t>
  </si>
  <si>
    <t>Chinon Courléon Blou</t>
  </si>
  <si>
    <t>Chinon Continvoir Avrllé ingrandes</t>
  </si>
  <si>
    <t>Avoine Avrillé Langeais</t>
  </si>
  <si>
    <t>Chinon St epain Rilly La Tour Huismes</t>
  </si>
  <si>
    <t>Avoine varennes</t>
  </si>
  <si>
    <t>Chinon Dampierre Verrie Coudray</t>
  </si>
  <si>
    <t>Avoine Chacé Les Ulmes Coudray</t>
  </si>
  <si>
    <t>Avoine balade USEAB</t>
  </si>
  <si>
    <t>Avoine</t>
  </si>
  <si>
    <t>Essai VAE</t>
  </si>
  <si>
    <t>Chinon Marigny IB</t>
  </si>
  <si>
    <t>Chinon St Epain  Courtineau Villeperdu</t>
  </si>
  <si>
    <t>Avoine Langeais Cléré Continvoir</t>
  </si>
  <si>
    <t>Avoine Confinement 3-1</t>
  </si>
  <si>
    <t>Avoine Candes couziers</t>
  </si>
  <si>
    <t>Avoine Rigny chinon candes</t>
  </si>
  <si>
    <t>Avec Evelyne</t>
  </si>
  <si>
    <t>Avoine Candes Chinon Rigny</t>
  </si>
  <si>
    <t>Avoine Rigny chinon Lerné candes</t>
  </si>
  <si>
    <t>Avoine LOUIS</t>
  </si>
  <si>
    <t>en VTT</t>
  </si>
  <si>
    <t>Avoine Bréhémont Cravant Chinon Lerné Candes101</t>
  </si>
  <si>
    <t>Avoine Bréhémont Cravant Chinon Lerné Candes</t>
  </si>
  <si>
    <t>Avoine Lignière Druye Azay</t>
  </si>
  <si>
    <t>Compl Balade Evelyne</t>
  </si>
  <si>
    <t>Avoine Azay Vallère Rigny Chinon</t>
  </si>
  <si>
    <t>Avoine Varennes Couziers Chinon Rigny</t>
  </si>
  <si>
    <t>Avoine Avrillé Cléré Langeais</t>
  </si>
  <si>
    <t>Avoine Ceaux Maulay Veniers 3 moutiers</t>
  </si>
  <si>
    <t>Balade Club USEAB</t>
  </si>
  <si>
    <t>Chinon Trèves Forges Montreuil</t>
  </si>
  <si>
    <t>Avoine Saumur Forges Bron</t>
  </si>
  <si>
    <t>Chinon Saumur Cunault Meigné Brézé</t>
  </si>
  <si>
    <t>Chinon Chacé le Puy Morton</t>
  </si>
  <si>
    <t>Avoine 3 moutiers Ranton Epieds</t>
  </si>
  <si>
    <t>Chinon Saumur Meigné St Cyr</t>
  </si>
  <si>
    <t>Chinon Bréhémont Pont Ruan St Epain</t>
  </si>
  <si>
    <t>Audax 100 Chinon</t>
  </si>
  <si>
    <t>Balade Useab</t>
  </si>
  <si>
    <t>Chinon Avrillé Hommes Langeais</t>
  </si>
  <si>
    <t>Chinon  Marçay Insay</t>
  </si>
  <si>
    <t>Avoine Vernantes St Phibert Blou</t>
  </si>
  <si>
    <t>Avoine Tutquant</t>
  </si>
  <si>
    <t>Gréalou Jour 1</t>
  </si>
  <si>
    <t>Gréalou Jour 2</t>
  </si>
  <si>
    <t>Gréalou Jour 4</t>
  </si>
  <si>
    <t>Gréalou Jour 2 bis</t>
  </si>
  <si>
    <t>Gréalou Jour 3</t>
  </si>
  <si>
    <t>Armor jour 2</t>
  </si>
  <si>
    <t>Armor jour 1</t>
  </si>
  <si>
    <t>Armor jour 3</t>
  </si>
  <si>
    <t>Armor jour 4,1</t>
  </si>
  <si>
    <t>Armor jour 4,2</t>
  </si>
  <si>
    <t>Armor jour 5</t>
  </si>
  <si>
    <t>Armor jour 6</t>
  </si>
  <si>
    <t>Armor jour 8</t>
  </si>
  <si>
    <t>Armor jour 7</t>
  </si>
  <si>
    <t>Avoine Rillé</t>
  </si>
  <si>
    <t>Avoine Panzoult Azay</t>
  </si>
  <si>
    <t>Chinon Saumur rou roiffé</t>
  </si>
  <si>
    <t>Avoine Rilly</t>
  </si>
  <si>
    <t>Chinon Saumur Meigné</t>
  </si>
  <si>
    <t>Chinon Courléon Allonnes</t>
  </si>
  <si>
    <t>vélo francette 2021 J1</t>
  </si>
  <si>
    <t>Cyclo Camping</t>
  </si>
  <si>
    <t>Cyclo Camping VTT</t>
  </si>
  <si>
    <t>vélo francette 2021 J2</t>
  </si>
  <si>
    <t>vélo francette 2021 J3</t>
  </si>
  <si>
    <t>vélo francette 2021 J4</t>
  </si>
  <si>
    <t>vélo francette 2021 J5</t>
  </si>
  <si>
    <t>vélo francette 2021 J6</t>
  </si>
  <si>
    <t>vélo francette 2021 J7 (R1)</t>
  </si>
  <si>
    <t>vélo francette 2021 J8</t>
  </si>
  <si>
    <t>repos</t>
  </si>
  <si>
    <t>vélo francette 2021 J9 (R2)</t>
  </si>
  <si>
    <t>vélo francette 2021 J10 (R3)</t>
  </si>
  <si>
    <t>Cyclo Camping Vtt</t>
  </si>
  <si>
    <t>vélo francette 2021 J11 (R4)</t>
  </si>
  <si>
    <t>vélo francette 2021 J12 (R5)</t>
  </si>
  <si>
    <t>vélo francette 2021 J13 (R6)</t>
  </si>
  <si>
    <t>vélo francette 2021 J14 (R7)</t>
  </si>
  <si>
    <t>Avoine St Cyr Meigne Chacé</t>
  </si>
  <si>
    <t>Chinon les Loges Blou</t>
  </si>
  <si>
    <t>Chinon Roiffé Antoigné</t>
  </si>
  <si>
    <t>Avoine Roiffé fontevraud</t>
  </si>
  <si>
    <t>Chinon Cravant Saché Azay</t>
  </si>
  <si>
    <t>Chinon vallères villandry Bréhémont</t>
  </si>
  <si>
    <t>Chinon Blou St Nicolas</t>
  </si>
  <si>
    <t>Mouliherne Narnar</t>
  </si>
  <si>
    <t>Avoine Fontevraud douvy 3 Moutiers</t>
  </si>
  <si>
    <t>Avoine Balade Useab</t>
  </si>
  <si>
    <t>Chinon Bourgueil Langeais</t>
  </si>
  <si>
    <t>Chinon Les Essarts langeais</t>
  </si>
  <si>
    <t>Chinon Avrillé St Symphorien Langeais</t>
  </si>
  <si>
    <t>Avoine St Epain Druye Bréhémont</t>
  </si>
  <si>
    <t>Avoine Ceaux Loudun 3 Moutiers</t>
  </si>
  <si>
    <t>Lac de DER</t>
  </si>
  <si>
    <t>Alsace Bossue Saralbe</t>
  </si>
  <si>
    <t>Lorraine Gemaingoutte</t>
  </si>
  <si>
    <t>Vosges Gemaingoutte</t>
  </si>
  <si>
    <t>Lac d'Orient</t>
  </si>
  <si>
    <t>Avoine St Epain Azay</t>
  </si>
  <si>
    <t>Chinon Courléon Gizeux</t>
  </si>
  <si>
    <t>Avoine Lignière Druye Azay Panzoult</t>
  </si>
  <si>
    <t>Chinon Messemé Angliers Glénouze</t>
  </si>
  <si>
    <t>Chinon Saumur Forges Montreuil</t>
  </si>
  <si>
    <t>Avoine St Epain Saché Cheillé</t>
  </si>
  <si>
    <t>Chinon La Breille</t>
  </si>
  <si>
    <t>Chinon Cunault Doué le Puy</t>
  </si>
  <si>
    <t>Avoine Langeais Hommes</t>
  </si>
  <si>
    <t>Chinon Courléon Langeais</t>
  </si>
  <si>
    <t>Chinon les Loges  Langeais</t>
  </si>
  <si>
    <t>Avoine Ligniere Vallère  St Benoit</t>
  </si>
  <si>
    <t>Chinon IB Rilly Richelieu</t>
  </si>
  <si>
    <t>Avoine Valléres  Bréhémont</t>
  </si>
  <si>
    <t>Chinon Vrère Antoigné Roiffé</t>
  </si>
  <si>
    <t>Chinon Candes Bernazay Basses Marçay</t>
  </si>
  <si>
    <t>Chinon Candes Epennes Ceaux</t>
  </si>
  <si>
    <t>Chinon Langeais Gizeux</t>
  </si>
  <si>
    <t>Avoine Ceaux Maulay Basse</t>
  </si>
  <si>
    <t>Avoine Orcehstre dylan (Langeais)</t>
  </si>
  <si>
    <t>Chinon Faye Chinon</t>
  </si>
  <si>
    <t>Avoine Langeais Avrillé</t>
  </si>
  <si>
    <t>Avoine Savigny</t>
  </si>
  <si>
    <t>Avoine St Cyr Meigné Saumur</t>
  </si>
  <si>
    <t>Chinon Ceaux Loudun</t>
  </si>
  <si>
    <t>Avoine bréhémont Vallére St Benoit</t>
  </si>
  <si>
    <t>Chinon benais les Essarts Langeais</t>
  </si>
  <si>
    <t>Chinon Saumur Marson Coudray</t>
  </si>
  <si>
    <t>Chinon La breille Allonnes</t>
  </si>
  <si>
    <t>Avoine St Cyr Cizay Munet</t>
  </si>
  <si>
    <t>Avoine Saumur Marson Coudray</t>
  </si>
  <si>
    <t>Avoine Benais St Patrice Restigné</t>
  </si>
  <si>
    <t>Chinon Rivarenne Azay Panzoult</t>
  </si>
  <si>
    <t>Avoine Vallère Bréhémont</t>
  </si>
  <si>
    <t>Chinon Saumur Riou Chacé</t>
  </si>
  <si>
    <t>Chinon Richelieu IB Huismes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</si>
</sst>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1" xfId="0" applyNumberFormat="1" applyBorder="1"/>
    <xf numFmtId="14" fontId="0" fillId="0" borderId="2" xfId="0" applyNumberFormat="1" applyBorder="1"/>
    <xf numFmtId="0" fontId="0" fillId="0" borderId="2" xfId="0" applyBorder="1"/>
    <xf numFmtId="0" fontId="0" fillId="0" borderId="2" xfId="0" applyNumberFormat="1" applyBorder="1"/>
    <xf numFmtId="164" fontId="0" fillId="0" borderId="2" xfId="0" applyNumberFormat="1" applyBorder="1"/>
    <xf numFmtId="0" fontId="2" fillId="0" borderId="3" xfId="0" applyFont="1" applyBorder="1"/>
    <xf numFmtId="0" fontId="2" fillId="0" borderId="4" xfId="0" applyFont="1" applyBorder="1"/>
    <xf numFmtId="164" fontId="2" fillId="0" borderId="4" xfId="0" applyNumberFormat="1" applyFont="1" applyBorder="1"/>
    <xf numFmtId="0" fontId="2" fillId="0" borderId="5" xfId="0" applyFont="1" applyBorder="1"/>
    <xf numFmtId="0" fontId="0" fillId="0" borderId="1" xfId="0" applyFill="1" applyBorder="1"/>
    <xf numFmtId="14" fontId="0" fillId="0" borderId="1" xfId="0" applyNumberFormat="1" applyFill="1" applyBorder="1"/>
    <xf numFmtId="0" fontId="0" fillId="0" borderId="2" xfId="0" applyFill="1" applyBorder="1"/>
    <xf numFmtId="0" fontId="0" fillId="0" borderId="1" xfId="0" applyNumberFormat="1" applyFill="1" applyBorder="1"/>
    <xf numFmtId="164" fontId="0" fillId="0" borderId="1" xfId="0" applyNumberFormat="1" applyFill="1" applyBorder="1"/>
    <xf numFmtId="14" fontId="0" fillId="0" borderId="2" xfId="0" applyNumberFormat="1" applyFill="1" applyBorder="1"/>
    <xf numFmtId="0" fontId="0" fillId="0" borderId="2" xfId="0" applyNumberFormat="1" applyFill="1" applyBorder="1"/>
    <xf numFmtId="164" fontId="0" fillId="0" borderId="2" xfId="0" applyNumberFormat="1" applyFill="1" applyBorder="1"/>
    <xf numFmtId="0" fontId="0" fillId="0" borderId="0" xfId="0" applyFill="1"/>
    <xf numFmtId="0" fontId="2" fillId="0" borderId="6" xfId="0" applyFont="1" applyBorder="1"/>
    <xf numFmtId="0" fontId="0" fillId="0" borderId="1" xfId="0" applyFont="1" applyBorder="1"/>
    <xf numFmtId="0" fontId="1" fillId="0" borderId="0" xfId="0" applyFont="1" applyAlignment="1">
      <alignment horizontal="center"/>
    </xf>
    <xf numFmtId="0" fontId="0" fillId="0" borderId="0" xfId="0" applyNumberFormat="1" applyFill="1"/>
    <xf numFmtId="0" fontId="1" fillId="0" borderId="7" xfId="0" applyFont="1" applyBorder="1" applyAlignment="1"/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0" fontId="3" fillId="0" borderId="1" xfId="0" applyFont="1" applyBorder="1"/>
    <xf numFmtId="14" fontId="0" fillId="0" borderId="0" xfId="0" applyNumberFormat="1" applyBorder="1"/>
    <xf numFmtId="0" fontId="0" fillId="0" borderId="0" xfId="0" applyBorder="1"/>
    <xf numFmtId="0" fontId="0" fillId="0" borderId="0" xfId="0" applyNumberFormat="1" applyBorder="1"/>
    <xf numFmtId="164" fontId="0" fillId="0" borderId="0" xfId="0" applyNumberFormat="1" applyBorder="1"/>
    <xf numFmtId="16" fontId="0" fillId="0" borderId="1" xfId="0" applyNumberFormat="1" applyBorder="1"/>
    <xf numFmtId="0" fontId="4" fillId="2" borderId="0" xfId="0" applyFont="1" applyFill="1"/>
    <xf numFmtId="0" fontId="0" fillId="0" borderId="9" xfId="0" applyNumberFormat="1" applyFill="1" applyBorder="1"/>
    <xf numFmtId="14" fontId="5" fillId="0" borderId="1" xfId="0" applyNumberFormat="1" applyFont="1" applyFill="1" applyBorder="1"/>
    <xf numFmtId="0" fontId="5" fillId="0" borderId="2" xfId="0" applyFont="1" applyFill="1" applyBorder="1"/>
    <xf numFmtId="0" fontId="5" fillId="0" borderId="1" xfId="0" applyFont="1" applyFill="1" applyBorder="1"/>
    <xf numFmtId="0" fontId="5" fillId="0" borderId="1" xfId="0" applyNumberFormat="1" applyFont="1" applyFill="1" applyBorder="1"/>
    <xf numFmtId="0" fontId="5" fillId="0" borderId="1" xfId="0" applyFont="1" applyBorder="1"/>
    <xf numFmtId="164" fontId="5" fillId="0" borderId="1" xfId="0" applyNumberFormat="1" applyFont="1" applyFill="1" applyBorder="1"/>
    <xf numFmtId="164" fontId="5" fillId="0" borderId="2" xfId="0" applyNumberFormat="1" applyFont="1" applyBorder="1"/>
    <xf numFmtId="0" fontId="5" fillId="0" borderId="0" xfId="0" applyFont="1"/>
    <xf numFmtId="164" fontId="5" fillId="0" borderId="1" xfId="0" applyNumberFormat="1" applyFont="1" applyBorder="1"/>
    <xf numFmtId="0" fontId="0" fillId="0" borderId="9" xfId="0" applyFill="1" applyBorder="1"/>
    <xf numFmtId="14" fontId="0" fillId="2" borderId="1" xfId="0" applyNumberFormat="1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1" xfId="0" applyNumberFormat="1" applyFill="1" applyBorder="1"/>
    <xf numFmtId="164" fontId="0" fillId="2" borderId="1" xfId="0" applyNumberFormat="1" applyFill="1" applyBorder="1"/>
    <xf numFmtId="164" fontId="0" fillId="2" borderId="2" xfId="0" applyNumberFormat="1" applyFill="1" applyBorder="1"/>
    <xf numFmtId="0" fontId="0" fillId="2" borderId="0" xfId="0" applyFill="1"/>
    <xf numFmtId="0" fontId="5" fillId="2" borderId="1" xfId="0" applyFont="1" applyFill="1" applyBorder="1"/>
    <xf numFmtId="0" fontId="0" fillId="0" borderId="1" xfId="0" applyFont="1" applyFill="1" applyBorder="1"/>
    <xf numFmtId="0" fontId="2" fillId="0" borderId="8" xfId="0" applyFont="1" applyBorder="1"/>
    <xf numFmtId="0" fontId="0" fillId="0" borderId="10" xfId="0" applyFill="1" applyBorder="1"/>
    <xf numFmtId="16" fontId="0" fillId="0" borderId="11" xfId="0" applyNumberFormat="1" applyBorder="1"/>
    <xf numFmtId="0" fontId="0" fillId="0" borderId="10" xfId="0" applyBorder="1"/>
    <xf numFmtId="0" fontId="0" fillId="0" borderId="11" xfId="0" applyBorder="1"/>
    <xf numFmtId="0" fontId="3" fillId="0" borderId="3" xfId="0" applyFont="1" applyBorder="1"/>
    <xf numFmtId="0" fontId="3" fillId="0" borderId="5" xfId="0" applyFont="1" applyBorder="1"/>
    <xf numFmtId="14" fontId="0" fillId="0" borderId="9" xfId="0" applyNumberForma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1" xfId="0" applyNumberFormat="1" applyFill="1" applyBorder="1"/>
    <xf numFmtId="164" fontId="0" fillId="3" borderId="1" xfId="0" applyNumberFormat="1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1" xfId="0" applyNumberFormat="1" applyFill="1" applyBorder="1"/>
    <xf numFmtId="164" fontId="0" fillId="4" borderId="1" xfId="0" applyNumberFormat="1" applyFill="1" applyBorder="1"/>
    <xf numFmtId="164" fontId="0" fillId="4" borderId="2" xfId="0" applyNumberFormat="1" applyFill="1" applyBorder="1"/>
    <xf numFmtId="0" fontId="0" fillId="0" borderId="12" xfId="0" applyBorder="1"/>
    <xf numFmtId="0" fontId="0" fillId="0" borderId="13" xfId="0" applyBorder="1"/>
    <xf numFmtId="16" fontId="0" fillId="0" borderId="0" xfId="0" applyNumberFormat="1"/>
    <xf numFmtId="16" fontId="0" fillId="0" borderId="1" xfId="0" applyNumberFormat="1" applyFill="1" applyBorder="1"/>
    <xf numFmtId="0" fontId="2" fillId="0" borderId="4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selection activeCell="L24" sqref="L24"/>
    </sheetView>
  </sheetViews>
  <sheetFormatPr baseColWidth="10" defaultRowHeight="15" x14ac:dyDescent="0.2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5703125" style="2" bestFit="1" customWidth="1"/>
    <col min="9" max="9" width="11.5703125" style="2" customWidth="1"/>
    <col min="10" max="10" width="18.5703125" customWidth="1"/>
    <col min="11" max="11" width="8.85546875" customWidth="1"/>
    <col min="12" max="12" width="7" customWidth="1"/>
  </cols>
  <sheetData>
    <row r="1" spans="1:12" ht="27" thickBot="1" x14ac:dyDescent="0.45">
      <c r="A1" s="81" t="s">
        <v>7</v>
      </c>
      <c r="B1" s="81"/>
      <c r="C1" s="81"/>
      <c r="D1" s="81"/>
      <c r="E1" s="81"/>
      <c r="F1" s="81"/>
      <c r="G1" s="81"/>
      <c r="H1" s="29">
        <v>2021</v>
      </c>
      <c r="I1" s="30"/>
      <c r="J1" s="28"/>
    </row>
    <row r="2" spans="1:12" ht="19.5" thickBot="1" x14ac:dyDescent="0.35">
      <c r="A2" s="11" t="s">
        <v>0</v>
      </c>
      <c r="B2" s="12" t="s">
        <v>1</v>
      </c>
      <c r="C2" s="12" t="s">
        <v>6</v>
      </c>
      <c r="D2" s="12" t="s">
        <v>2</v>
      </c>
      <c r="E2" s="80" t="s">
        <v>3</v>
      </c>
      <c r="F2" s="80"/>
      <c r="G2" s="80"/>
      <c r="H2" s="13" t="s">
        <v>4</v>
      </c>
      <c r="I2" s="31" t="s">
        <v>19</v>
      </c>
      <c r="J2" s="59" t="s">
        <v>5</v>
      </c>
      <c r="K2" s="64" t="s">
        <v>21</v>
      </c>
      <c r="L2" s="65" t="s">
        <v>22</v>
      </c>
    </row>
    <row r="3" spans="1:12" x14ac:dyDescent="0.25">
      <c r="A3" s="20">
        <v>44203</v>
      </c>
      <c r="B3" s="17" t="s">
        <v>20</v>
      </c>
      <c r="C3" s="8">
        <v>1</v>
      </c>
      <c r="D3" s="17">
        <v>78</v>
      </c>
      <c r="E3" s="21">
        <v>3</v>
      </c>
      <c r="F3" s="21">
        <v>7</v>
      </c>
      <c r="G3" s="8">
        <f>SUM(E3*60+F3)</f>
        <v>187</v>
      </c>
      <c r="H3" s="10">
        <f>SUM(D3/G3*60)</f>
        <v>25.026737967914439</v>
      </c>
      <c r="I3" s="10">
        <v>262</v>
      </c>
      <c r="J3" s="60"/>
      <c r="K3" s="8"/>
      <c r="L3" s="8">
        <v>78</v>
      </c>
    </row>
    <row r="4" spans="1:12" x14ac:dyDescent="0.25">
      <c r="A4" s="16">
        <v>44205</v>
      </c>
      <c r="B4" s="15" t="s">
        <v>23</v>
      </c>
      <c r="C4" s="8">
        <v>2</v>
      </c>
      <c r="D4" s="15">
        <v>65</v>
      </c>
      <c r="E4" s="18">
        <v>2</v>
      </c>
      <c r="F4" s="18">
        <v>40</v>
      </c>
      <c r="G4" s="3">
        <f t="shared" ref="G4:G23" si="0">SUM(E4*60+F4)</f>
        <v>160</v>
      </c>
      <c r="H4" s="4">
        <f t="shared" ref="H4:H23" si="1">SUM(D4/G4*60)</f>
        <v>24.375</v>
      </c>
      <c r="I4" s="10">
        <v>353</v>
      </c>
      <c r="J4" s="60"/>
      <c r="K4" s="3"/>
      <c r="L4" s="3">
        <v>65</v>
      </c>
    </row>
    <row r="5" spans="1:12" x14ac:dyDescent="0.25">
      <c r="A5" s="5">
        <v>44207</v>
      </c>
      <c r="B5" s="3" t="s">
        <v>24</v>
      </c>
      <c r="C5" s="8">
        <v>3</v>
      </c>
      <c r="D5" s="3">
        <v>87</v>
      </c>
      <c r="E5" s="6">
        <v>3</v>
      </c>
      <c r="F5" s="6">
        <v>28</v>
      </c>
      <c r="G5" s="3">
        <f t="shared" si="0"/>
        <v>208</v>
      </c>
      <c r="H5" s="4">
        <f t="shared" si="1"/>
        <v>25.096153846153847</v>
      </c>
      <c r="I5" s="19">
        <v>288</v>
      </c>
      <c r="J5" s="61"/>
      <c r="K5" s="3"/>
      <c r="L5" s="3">
        <v>87</v>
      </c>
    </row>
    <row r="6" spans="1:12" x14ac:dyDescent="0.25">
      <c r="A6" s="5">
        <v>44211</v>
      </c>
      <c r="B6" s="3" t="s">
        <v>25</v>
      </c>
      <c r="C6" s="8">
        <v>4</v>
      </c>
      <c r="D6" s="3">
        <v>77</v>
      </c>
      <c r="E6" s="6">
        <v>3</v>
      </c>
      <c r="F6" s="6">
        <v>8</v>
      </c>
      <c r="G6" s="3">
        <f t="shared" si="0"/>
        <v>188</v>
      </c>
      <c r="H6" s="4">
        <f t="shared" si="1"/>
        <v>24.574468085106382</v>
      </c>
      <c r="I6" s="19">
        <v>348</v>
      </c>
      <c r="J6" s="62"/>
      <c r="K6" s="3"/>
      <c r="L6" s="3">
        <v>77</v>
      </c>
    </row>
    <row r="7" spans="1:12" x14ac:dyDescent="0.25">
      <c r="A7" s="5">
        <v>44212</v>
      </c>
      <c r="B7" s="3" t="s">
        <v>26</v>
      </c>
      <c r="C7" s="8">
        <v>5</v>
      </c>
      <c r="D7" s="3">
        <v>67</v>
      </c>
      <c r="E7" s="6">
        <v>2</v>
      </c>
      <c r="F7" s="6">
        <v>39</v>
      </c>
      <c r="G7" s="3">
        <f t="shared" si="0"/>
        <v>159</v>
      </c>
      <c r="H7" s="4">
        <f t="shared" si="1"/>
        <v>25.283018867924529</v>
      </c>
      <c r="I7" s="19">
        <v>263</v>
      </c>
      <c r="J7" s="62"/>
      <c r="K7" s="3"/>
      <c r="L7" s="3">
        <v>67</v>
      </c>
    </row>
    <row r="8" spans="1:12" x14ac:dyDescent="0.25">
      <c r="A8" s="5">
        <v>44215</v>
      </c>
      <c r="B8" s="3" t="s">
        <v>27</v>
      </c>
      <c r="C8" s="8">
        <v>6</v>
      </c>
      <c r="D8" s="3">
        <v>93</v>
      </c>
      <c r="E8" s="6">
        <v>3</v>
      </c>
      <c r="F8" s="6">
        <v>44</v>
      </c>
      <c r="G8" s="3">
        <f t="shared" si="0"/>
        <v>224</v>
      </c>
      <c r="H8" s="4">
        <f t="shared" si="1"/>
        <v>24.910714285714288</v>
      </c>
      <c r="I8" s="19">
        <v>445</v>
      </c>
      <c r="J8" s="63"/>
      <c r="K8" s="3"/>
      <c r="L8" s="3">
        <v>93</v>
      </c>
    </row>
    <row r="9" spans="1:12" x14ac:dyDescent="0.25">
      <c r="A9" s="5">
        <v>44221</v>
      </c>
      <c r="B9" s="49" t="s">
        <v>28</v>
      </c>
      <c r="C9" s="8">
        <v>7</v>
      </c>
      <c r="D9" s="3">
        <v>24</v>
      </c>
      <c r="E9" s="6">
        <v>1</v>
      </c>
      <c r="F9" s="6">
        <v>20</v>
      </c>
      <c r="G9" s="3">
        <f t="shared" si="0"/>
        <v>80</v>
      </c>
      <c r="H9" s="4">
        <f t="shared" si="1"/>
        <v>18</v>
      </c>
      <c r="I9" s="19">
        <v>58</v>
      </c>
      <c r="J9" s="63"/>
      <c r="K9" s="37"/>
      <c r="L9" s="3">
        <v>24</v>
      </c>
    </row>
    <row r="10" spans="1:12" x14ac:dyDescent="0.25">
      <c r="A10" s="5">
        <v>44222</v>
      </c>
      <c r="B10" s="3" t="s">
        <v>29</v>
      </c>
      <c r="C10" s="8">
        <v>8</v>
      </c>
      <c r="D10" s="3">
        <v>85</v>
      </c>
      <c r="E10" s="6">
        <v>3</v>
      </c>
      <c r="F10" s="6">
        <v>30</v>
      </c>
      <c r="G10" s="3">
        <f t="shared" si="0"/>
        <v>210</v>
      </c>
      <c r="H10" s="4">
        <f t="shared" si="1"/>
        <v>24.285714285714285</v>
      </c>
      <c r="I10" s="10">
        <v>343</v>
      </c>
      <c r="J10" s="63"/>
      <c r="K10" s="3"/>
      <c r="L10" s="3">
        <v>85</v>
      </c>
    </row>
    <row r="11" spans="1:12" x14ac:dyDescent="0.25">
      <c r="A11" s="5">
        <v>44226</v>
      </c>
      <c r="B11" s="3" t="s">
        <v>30</v>
      </c>
      <c r="C11" s="8">
        <v>9</v>
      </c>
      <c r="D11" s="3">
        <v>70</v>
      </c>
      <c r="E11" s="6">
        <v>2</v>
      </c>
      <c r="F11" s="6">
        <v>50</v>
      </c>
      <c r="G11" s="3">
        <f t="shared" si="0"/>
        <v>170</v>
      </c>
      <c r="H11" s="4">
        <f t="shared" si="1"/>
        <v>24.705882352941174</v>
      </c>
      <c r="I11" s="4">
        <v>260</v>
      </c>
      <c r="J11" s="62"/>
      <c r="K11" s="3"/>
      <c r="L11" s="3">
        <v>70</v>
      </c>
    </row>
    <row r="12" spans="1:12" x14ac:dyDescent="0.25">
      <c r="A12" s="5"/>
      <c r="B12" s="3"/>
      <c r="C12" s="8">
        <v>10</v>
      </c>
      <c r="D12" s="3"/>
      <c r="E12" s="6"/>
      <c r="F12" s="6"/>
      <c r="G12" s="3">
        <f t="shared" si="0"/>
        <v>0</v>
      </c>
      <c r="H12" s="4" t="e">
        <f t="shared" si="1"/>
        <v>#DIV/0!</v>
      </c>
      <c r="I12" s="4"/>
      <c r="J12" s="63"/>
      <c r="K12" s="3"/>
      <c r="L12" s="3"/>
    </row>
    <row r="13" spans="1:12" x14ac:dyDescent="0.25">
      <c r="A13" s="5"/>
      <c r="B13" s="3"/>
      <c r="C13" s="8">
        <v>11</v>
      </c>
      <c r="D13" s="3"/>
      <c r="E13" s="6"/>
      <c r="F13" s="6"/>
      <c r="G13" s="3">
        <f t="shared" si="0"/>
        <v>0</v>
      </c>
      <c r="H13" s="4" t="e">
        <f t="shared" si="1"/>
        <v>#DIV/0!</v>
      </c>
      <c r="I13" s="4"/>
      <c r="J13" s="63"/>
      <c r="K13" s="3"/>
      <c r="L13" s="3"/>
    </row>
    <row r="14" spans="1:12" x14ac:dyDescent="0.25">
      <c r="A14" s="5"/>
      <c r="B14" s="3"/>
      <c r="C14" s="8">
        <v>12</v>
      </c>
      <c r="D14" s="3"/>
      <c r="E14" s="6"/>
      <c r="F14" s="6"/>
      <c r="G14" s="3">
        <f t="shared" si="0"/>
        <v>0</v>
      </c>
      <c r="H14" s="4" t="e">
        <f t="shared" si="1"/>
        <v>#DIV/0!</v>
      </c>
      <c r="I14" s="4"/>
      <c r="J14" s="63"/>
      <c r="K14" s="3"/>
      <c r="L14" s="3"/>
    </row>
    <row r="15" spans="1:12" x14ac:dyDescent="0.25">
      <c r="A15" s="5"/>
      <c r="B15" s="3"/>
      <c r="C15" s="8">
        <v>13</v>
      </c>
      <c r="D15" s="3"/>
      <c r="E15" s="6"/>
      <c r="F15" s="6"/>
      <c r="G15" s="3">
        <f t="shared" si="0"/>
        <v>0</v>
      </c>
      <c r="H15" s="4" t="e">
        <f t="shared" si="1"/>
        <v>#DIV/0!</v>
      </c>
      <c r="I15" s="4"/>
      <c r="J15" s="63"/>
      <c r="K15" s="3"/>
      <c r="L15" s="3"/>
    </row>
    <row r="16" spans="1:12" x14ac:dyDescent="0.25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4"/>
      <c r="J16" s="63"/>
      <c r="K16" s="3"/>
      <c r="L16" s="3"/>
    </row>
    <row r="17" spans="1:12" x14ac:dyDescent="0.25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4"/>
      <c r="J17" s="63"/>
      <c r="K17" s="3"/>
      <c r="L17" s="3"/>
    </row>
    <row r="18" spans="1:12" x14ac:dyDescent="0.25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63"/>
      <c r="K18" s="3"/>
      <c r="L18" s="3"/>
    </row>
    <row r="19" spans="1:12" x14ac:dyDescent="0.25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63"/>
      <c r="K19" s="3"/>
      <c r="L19" s="3"/>
    </row>
    <row r="20" spans="1:12" x14ac:dyDescent="0.25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63"/>
      <c r="K20" s="3"/>
      <c r="L20" s="3"/>
    </row>
    <row r="21" spans="1:12" x14ac:dyDescent="0.25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63"/>
      <c r="K21" s="3"/>
      <c r="L21" s="3"/>
    </row>
    <row r="22" spans="1:12" x14ac:dyDescent="0.25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63"/>
      <c r="K22" s="3"/>
      <c r="L22" s="3"/>
    </row>
    <row r="23" spans="1:12" x14ac:dyDescent="0.25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63"/>
      <c r="K23" s="3"/>
      <c r="L23" s="3"/>
    </row>
    <row r="24" spans="1:12" x14ac:dyDescent="0.25">
      <c r="D24">
        <f>SUM(D3:D23)</f>
        <v>646</v>
      </c>
      <c r="I24" s="2">
        <f>SUM(I3:I23)</f>
        <v>2620</v>
      </c>
      <c r="K24">
        <f>SUM(K3:K23)</f>
        <v>0</v>
      </c>
      <c r="L24">
        <f>SUM(L3:L23)</f>
        <v>646</v>
      </c>
    </row>
    <row r="25" spans="1:12" x14ac:dyDescent="0.25">
      <c r="B25">
        <f>SUM(D24+0)</f>
        <v>646</v>
      </c>
      <c r="H25" s="2">
        <f>SUM(I24+0)</f>
        <v>2620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workbookViewId="0">
      <selection activeCell="K25" sqref="K25"/>
    </sheetView>
  </sheetViews>
  <sheetFormatPr baseColWidth="10" defaultRowHeight="15" x14ac:dyDescent="0.2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  <col min="11" max="11" width="8.85546875" customWidth="1"/>
    <col min="12" max="12" width="7" customWidth="1"/>
  </cols>
  <sheetData>
    <row r="1" spans="1:12" ht="27" thickBot="1" x14ac:dyDescent="0.45">
      <c r="A1" s="81" t="s">
        <v>8</v>
      </c>
      <c r="B1" s="81"/>
      <c r="C1" s="81"/>
      <c r="D1" s="81"/>
      <c r="E1" s="81"/>
      <c r="F1" s="81"/>
      <c r="G1" s="81"/>
      <c r="H1" s="26">
        <f>SUM(Janv!H1)</f>
        <v>2021</v>
      </c>
      <c r="I1" s="26"/>
      <c r="J1" s="26"/>
    </row>
    <row r="2" spans="1:12" ht="19.5" thickBot="1" x14ac:dyDescent="0.35">
      <c r="A2" s="11" t="s">
        <v>0</v>
      </c>
      <c r="B2" s="12" t="s">
        <v>1</v>
      </c>
      <c r="C2" s="12" t="s">
        <v>6</v>
      </c>
      <c r="D2" s="12" t="s">
        <v>2</v>
      </c>
      <c r="E2" s="80" t="s">
        <v>3</v>
      </c>
      <c r="F2" s="80"/>
      <c r="G2" s="80"/>
      <c r="H2" s="13" t="s">
        <v>4</v>
      </c>
      <c r="I2" s="31" t="s">
        <v>19</v>
      </c>
      <c r="J2" s="14" t="s">
        <v>5</v>
      </c>
      <c r="K2" s="64" t="s">
        <v>21</v>
      </c>
      <c r="L2" s="65" t="s">
        <v>22</v>
      </c>
    </row>
    <row r="3" spans="1:12" x14ac:dyDescent="0.25">
      <c r="A3" s="7">
        <v>44229</v>
      </c>
      <c r="B3" s="8" t="s">
        <v>31</v>
      </c>
      <c r="C3" s="8">
        <v>1</v>
      </c>
      <c r="D3" s="8">
        <v>94</v>
      </c>
      <c r="E3" s="9">
        <v>3</v>
      </c>
      <c r="F3" s="9">
        <v>51</v>
      </c>
      <c r="G3" s="8">
        <f>SUM(E3*60+F3)</f>
        <v>231</v>
      </c>
      <c r="H3" s="10">
        <f>SUM(D3/G3*60)</f>
        <v>24.415584415584416</v>
      </c>
      <c r="I3" s="10">
        <v>473</v>
      </c>
      <c r="J3" s="8"/>
      <c r="K3" s="8"/>
      <c r="L3" s="8">
        <v>94</v>
      </c>
    </row>
    <row r="4" spans="1:12" x14ac:dyDescent="0.25">
      <c r="A4" s="5">
        <v>44231</v>
      </c>
      <c r="B4" s="3" t="s">
        <v>32</v>
      </c>
      <c r="C4" s="8">
        <v>2</v>
      </c>
      <c r="D4" s="3">
        <v>90</v>
      </c>
      <c r="E4" s="6">
        <v>3</v>
      </c>
      <c r="F4" s="6">
        <v>38</v>
      </c>
      <c r="G4" s="3">
        <f t="shared" ref="G4:G23" si="0">SUM(E4*60+F4)</f>
        <v>218</v>
      </c>
      <c r="H4" s="4">
        <f t="shared" ref="H4:H23" si="1">SUM(D4/G4*60)</f>
        <v>24.770642201834864</v>
      </c>
      <c r="I4" s="10">
        <v>440</v>
      </c>
      <c r="J4" s="3"/>
      <c r="K4" s="3"/>
      <c r="L4" s="3">
        <v>90</v>
      </c>
    </row>
    <row r="5" spans="1:12" x14ac:dyDescent="0.25">
      <c r="A5" s="5">
        <v>44233</v>
      </c>
      <c r="B5" s="3" t="s">
        <v>33</v>
      </c>
      <c r="C5" s="8">
        <v>3</v>
      </c>
      <c r="D5" s="3">
        <v>60</v>
      </c>
      <c r="E5" s="6">
        <v>2</v>
      </c>
      <c r="F5" s="6">
        <v>24</v>
      </c>
      <c r="G5" s="3">
        <f t="shared" si="0"/>
        <v>144</v>
      </c>
      <c r="H5" s="4">
        <f t="shared" si="1"/>
        <v>25</v>
      </c>
      <c r="I5" s="19">
        <v>187</v>
      </c>
      <c r="J5" s="3"/>
      <c r="K5" s="3"/>
      <c r="L5" s="3">
        <v>60</v>
      </c>
    </row>
    <row r="6" spans="1:12" x14ac:dyDescent="0.25">
      <c r="A6" s="5">
        <v>44236</v>
      </c>
      <c r="B6" s="3" t="s">
        <v>34</v>
      </c>
      <c r="C6" s="8">
        <v>4</v>
      </c>
      <c r="D6" s="3">
        <v>57</v>
      </c>
      <c r="E6" s="6">
        <v>2</v>
      </c>
      <c r="F6" s="6">
        <v>28</v>
      </c>
      <c r="G6" s="3">
        <f t="shared" si="0"/>
        <v>148</v>
      </c>
      <c r="H6" s="4">
        <f t="shared" si="1"/>
        <v>23.108108108108109</v>
      </c>
      <c r="I6" s="19">
        <v>262</v>
      </c>
      <c r="J6" s="3"/>
      <c r="K6" s="3"/>
      <c r="L6" s="3">
        <v>57</v>
      </c>
    </row>
    <row r="7" spans="1:12" x14ac:dyDescent="0.25">
      <c r="A7" s="5">
        <v>44238</v>
      </c>
      <c r="B7" s="3" t="s">
        <v>35</v>
      </c>
      <c r="C7" s="8">
        <v>5</v>
      </c>
      <c r="D7" s="3">
        <v>91</v>
      </c>
      <c r="E7" s="6">
        <v>3</v>
      </c>
      <c r="F7" s="6">
        <v>41</v>
      </c>
      <c r="G7" s="3">
        <f t="shared" si="0"/>
        <v>221</v>
      </c>
      <c r="H7" s="4">
        <f t="shared" si="1"/>
        <v>24.705882352941174</v>
      </c>
      <c r="I7" s="19">
        <v>439</v>
      </c>
      <c r="J7" s="8"/>
      <c r="K7" s="3"/>
      <c r="L7" s="3">
        <v>91</v>
      </c>
    </row>
    <row r="8" spans="1:12" x14ac:dyDescent="0.25">
      <c r="A8" s="5">
        <v>44240</v>
      </c>
      <c r="B8" s="3" t="s">
        <v>36</v>
      </c>
      <c r="C8" s="8">
        <v>6</v>
      </c>
      <c r="D8" s="3">
        <v>15</v>
      </c>
      <c r="E8" s="6">
        <v>1</v>
      </c>
      <c r="F8" s="6"/>
      <c r="G8" s="3">
        <f t="shared" si="0"/>
        <v>60</v>
      </c>
      <c r="H8" s="4">
        <f t="shared" si="1"/>
        <v>15</v>
      </c>
      <c r="I8" s="19">
        <v>32</v>
      </c>
      <c r="J8" s="3"/>
      <c r="K8" s="3">
        <v>15</v>
      </c>
      <c r="L8" s="3"/>
    </row>
    <row r="9" spans="1:12" x14ac:dyDescent="0.25">
      <c r="A9" s="5">
        <v>44243</v>
      </c>
      <c r="B9" s="3" t="s">
        <v>37</v>
      </c>
      <c r="C9" s="8">
        <v>7</v>
      </c>
      <c r="D9" s="3">
        <v>87</v>
      </c>
      <c r="E9" s="6">
        <v>3</v>
      </c>
      <c r="F9" s="6">
        <v>31</v>
      </c>
      <c r="G9" s="3">
        <f t="shared" si="0"/>
        <v>211</v>
      </c>
      <c r="H9" s="4">
        <f t="shared" si="1"/>
        <v>24.739336492890995</v>
      </c>
      <c r="I9" s="19">
        <v>413</v>
      </c>
      <c r="J9" s="3"/>
      <c r="K9" s="37"/>
      <c r="L9" s="3">
        <v>87</v>
      </c>
    </row>
    <row r="10" spans="1:12" x14ac:dyDescent="0.25">
      <c r="A10" s="5">
        <v>44246</v>
      </c>
      <c r="B10" s="3" t="s">
        <v>38</v>
      </c>
      <c r="C10" s="8">
        <v>8</v>
      </c>
      <c r="D10" s="3">
        <v>75</v>
      </c>
      <c r="E10" s="6">
        <v>2</v>
      </c>
      <c r="F10" s="6">
        <v>53</v>
      </c>
      <c r="G10" s="3">
        <f t="shared" si="0"/>
        <v>173</v>
      </c>
      <c r="H10" s="4">
        <f t="shared" si="1"/>
        <v>26.01156069364162</v>
      </c>
      <c r="I10" s="10">
        <v>297</v>
      </c>
      <c r="J10" s="3"/>
      <c r="K10" s="3"/>
      <c r="L10" s="3">
        <v>75</v>
      </c>
    </row>
    <row r="11" spans="1:12" x14ac:dyDescent="0.25">
      <c r="A11" s="5">
        <v>44247</v>
      </c>
      <c r="B11" s="3" t="s">
        <v>39</v>
      </c>
      <c r="C11" s="8">
        <v>9</v>
      </c>
      <c r="D11" s="3">
        <v>71</v>
      </c>
      <c r="E11" s="6">
        <v>2</v>
      </c>
      <c r="F11" s="6">
        <v>58</v>
      </c>
      <c r="G11" s="3">
        <f t="shared" si="0"/>
        <v>178</v>
      </c>
      <c r="H11" s="4">
        <f t="shared" si="1"/>
        <v>23.932584269662918</v>
      </c>
      <c r="I11" s="4">
        <v>348</v>
      </c>
      <c r="J11" s="3"/>
      <c r="K11" s="3"/>
      <c r="L11" s="3">
        <v>71</v>
      </c>
    </row>
    <row r="12" spans="1:12" x14ac:dyDescent="0.25">
      <c r="A12" s="5">
        <v>44247</v>
      </c>
      <c r="B12" s="3" t="s">
        <v>40</v>
      </c>
      <c r="C12" s="8">
        <v>10</v>
      </c>
      <c r="D12" s="3">
        <v>25.5</v>
      </c>
      <c r="E12" s="6">
        <v>1</v>
      </c>
      <c r="F12" s="6">
        <v>36</v>
      </c>
      <c r="G12" s="3">
        <f t="shared" si="0"/>
        <v>96</v>
      </c>
      <c r="H12" s="4">
        <f t="shared" si="1"/>
        <v>15.9375</v>
      </c>
      <c r="I12" s="4">
        <v>76</v>
      </c>
      <c r="J12" s="3" t="s">
        <v>41</v>
      </c>
      <c r="K12" s="3"/>
      <c r="L12" s="3">
        <v>25</v>
      </c>
    </row>
    <row r="13" spans="1:12" x14ac:dyDescent="0.25">
      <c r="A13" s="5">
        <v>44250</v>
      </c>
      <c r="B13" s="3" t="s">
        <v>42</v>
      </c>
      <c r="C13" s="8">
        <v>11</v>
      </c>
      <c r="D13" s="3">
        <v>106</v>
      </c>
      <c r="E13" s="6">
        <v>4</v>
      </c>
      <c r="F13" s="6">
        <v>13</v>
      </c>
      <c r="G13" s="3">
        <f t="shared" si="0"/>
        <v>253</v>
      </c>
      <c r="H13" s="4">
        <f t="shared" si="1"/>
        <v>25.138339920948617</v>
      </c>
      <c r="I13" s="4">
        <v>383</v>
      </c>
      <c r="J13" s="3"/>
      <c r="K13" s="3"/>
      <c r="L13" s="3">
        <v>106</v>
      </c>
    </row>
    <row r="14" spans="1:12" x14ac:dyDescent="0.25">
      <c r="A14" s="5">
        <v>44251</v>
      </c>
      <c r="B14" s="3" t="s">
        <v>43</v>
      </c>
      <c r="C14" s="8">
        <v>12</v>
      </c>
      <c r="D14" s="3">
        <v>84</v>
      </c>
      <c r="E14" s="6">
        <v>3</v>
      </c>
      <c r="F14" s="6">
        <v>20</v>
      </c>
      <c r="G14" s="3">
        <f t="shared" si="0"/>
        <v>200</v>
      </c>
      <c r="H14" s="4">
        <f t="shared" si="1"/>
        <v>25.2</v>
      </c>
      <c r="I14" s="4">
        <v>463</v>
      </c>
      <c r="J14" s="3"/>
      <c r="K14" s="3"/>
      <c r="L14" s="3">
        <v>84</v>
      </c>
    </row>
    <row r="15" spans="1:12" x14ac:dyDescent="0.25">
      <c r="A15" s="5">
        <v>44254</v>
      </c>
      <c r="B15" s="3" t="s">
        <v>44</v>
      </c>
      <c r="C15" s="8">
        <v>13</v>
      </c>
      <c r="D15" s="3">
        <v>82</v>
      </c>
      <c r="E15" s="6">
        <v>3</v>
      </c>
      <c r="F15" s="6">
        <v>23</v>
      </c>
      <c r="G15" s="3">
        <f t="shared" si="0"/>
        <v>203</v>
      </c>
      <c r="H15" s="4">
        <f t="shared" si="1"/>
        <v>24.236453201970445</v>
      </c>
      <c r="I15" s="4">
        <v>243</v>
      </c>
      <c r="J15" s="3" t="s">
        <v>45</v>
      </c>
      <c r="K15" s="3"/>
      <c r="L15" s="3">
        <v>82</v>
      </c>
    </row>
    <row r="16" spans="1:12" x14ac:dyDescent="0.25">
      <c r="A16" s="5">
        <v>44254</v>
      </c>
      <c r="B16" s="3" t="s">
        <v>46</v>
      </c>
      <c r="C16" s="8">
        <v>14</v>
      </c>
      <c r="D16" s="3">
        <v>31</v>
      </c>
      <c r="E16" s="6">
        <v>1</v>
      </c>
      <c r="F16" s="6">
        <v>52</v>
      </c>
      <c r="G16" s="3">
        <f t="shared" si="0"/>
        <v>112</v>
      </c>
      <c r="H16" s="4">
        <f t="shared" si="1"/>
        <v>16.607142857142858</v>
      </c>
      <c r="I16" s="4">
        <v>73</v>
      </c>
      <c r="J16" s="3" t="s">
        <v>41</v>
      </c>
      <c r="K16" s="3"/>
      <c r="L16" s="3">
        <v>31</v>
      </c>
    </row>
    <row r="17" spans="1:12" x14ac:dyDescent="0.25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4"/>
      <c r="J17" s="3"/>
      <c r="K17" s="3"/>
      <c r="L17" s="3"/>
    </row>
    <row r="18" spans="1:12" x14ac:dyDescent="0.25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  <c r="K18" s="3"/>
      <c r="L18" s="3"/>
    </row>
    <row r="19" spans="1:12" x14ac:dyDescent="0.25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  <c r="K19" s="3"/>
      <c r="L19" s="3"/>
    </row>
    <row r="20" spans="1:12" x14ac:dyDescent="0.25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  <c r="K20" s="3"/>
      <c r="L20" s="3"/>
    </row>
    <row r="21" spans="1:12" x14ac:dyDescent="0.25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  <c r="K21" s="3"/>
      <c r="L21" s="3"/>
    </row>
    <row r="22" spans="1:12" x14ac:dyDescent="0.25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  <c r="K22" s="3"/>
      <c r="L22" s="3"/>
    </row>
    <row r="23" spans="1:12" x14ac:dyDescent="0.25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  <c r="K23" s="3"/>
      <c r="L23" s="3"/>
    </row>
    <row r="24" spans="1:12" x14ac:dyDescent="0.25">
      <c r="D24">
        <f>SUM(D3:D23)</f>
        <v>968.5</v>
      </c>
      <c r="I24" s="2">
        <f>SUM(I3:I23)</f>
        <v>4129</v>
      </c>
      <c r="K24">
        <f>SUM(K3:K23)</f>
        <v>15</v>
      </c>
      <c r="L24">
        <f>SUM(L3:L23)</f>
        <v>953</v>
      </c>
    </row>
    <row r="25" spans="1:12" x14ac:dyDescent="0.25">
      <c r="B25">
        <f>SUM(Janv!B25+Fév!D24)</f>
        <v>1614.5</v>
      </c>
      <c r="H25" s="2">
        <f>SUM(Janv!H25+Fév!I24)</f>
        <v>6749</v>
      </c>
      <c r="K25">
        <f>SUM(Janv!K24+Fév!K24)</f>
        <v>15</v>
      </c>
      <c r="L25">
        <f>SUM(Janv!L24+Fév!L24)</f>
        <v>1599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topLeftCell="A4" workbookViewId="0">
      <selection activeCell="K25" sqref="K25"/>
    </sheetView>
  </sheetViews>
  <sheetFormatPr baseColWidth="10" defaultRowHeight="15" x14ac:dyDescent="0.2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  <col min="11" max="11" width="8.85546875" customWidth="1"/>
    <col min="12" max="12" width="7" customWidth="1"/>
  </cols>
  <sheetData>
    <row r="1" spans="1:12" ht="27" thickBot="1" x14ac:dyDescent="0.45">
      <c r="A1" s="81" t="s">
        <v>9</v>
      </c>
      <c r="B1" s="81"/>
      <c r="C1" s="81"/>
      <c r="D1" s="81"/>
      <c r="E1" s="81"/>
      <c r="F1" s="81"/>
      <c r="G1" s="81"/>
      <c r="H1" s="26">
        <f>SUM(Janv!H1)</f>
        <v>2021</v>
      </c>
      <c r="I1" s="26"/>
      <c r="J1" s="26"/>
    </row>
    <row r="2" spans="1:12" ht="19.5" thickBot="1" x14ac:dyDescent="0.35">
      <c r="A2" s="11" t="s">
        <v>0</v>
      </c>
      <c r="B2" s="12" t="s">
        <v>1</v>
      </c>
      <c r="C2" s="12" t="s">
        <v>6</v>
      </c>
      <c r="D2" s="12" t="s">
        <v>2</v>
      </c>
      <c r="E2" s="80" t="s">
        <v>3</v>
      </c>
      <c r="F2" s="80"/>
      <c r="G2" s="80"/>
      <c r="H2" s="13" t="s">
        <v>4</v>
      </c>
      <c r="I2" s="31" t="s">
        <v>19</v>
      </c>
      <c r="J2" s="14" t="s">
        <v>5</v>
      </c>
      <c r="K2" s="64" t="s">
        <v>21</v>
      </c>
      <c r="L2" s="65" t="s">
        <v>22</v>
      </c>
    </row>
    <row r="3" spans="1:12" x14ac:dyDescent="0.25">
      <c r="A3" s="7">
        <v>44256</v>
      </c>
      <c r="B3" s="8" t="s">
        <v>47</v>
      </c>
      <c r="C3" s="8">
        <v>1</v>
      </c>
      <c r="D3" s="8">
        <v>14</v>
      </c>
      <c r="E3" s="9">
        <v>1</v>
      </c>
      <c r="F3" s="9">
        <v>9</v>
      </c>
      <c r="G3" s="8">
        <f>SUM(E3*60+F3)</f>
        <v>69</v>
      </c>
      <c r="H3" s="10">
        <f>SUM(D3/G3*60)</f>
        <v>12.173913043478262</v>
      </c>
      <c r="I3" s="10">
        <v>47</v>
      </c>
      <c r="J3" s="8" t="s">
        <v>48</v>
      </c>
      <c r="K3" s="8">
        <v>14</v>
      </c>
      <c r="L3" s="8"/>
    </row>
    <row r="4" spans="1:12" x14ac:dyDescent="0.25">
      <c r="A4" s="5">
        <v>44256</v>
      </c>
      <c r="B4" s="8" t="s">
        <v>47</v>
      </c>
      <c r="C4" s="8">
        <v>2</v>
      </c>
      <c r="D4" s="3">
        <v>16</v>
      </c>
      <c r="E4" s="6"/>
      <c r="F4" s="6">
        <v>54</v>
      </c>
      <c r="G4" s="3">
        <f t="shared" ref="G4:G23" si="0">SUM(E4*60+F4)</f>
        <v>54</v>
      </c>
      <c r="H4" s="4">
        <f t="shared" ref="H4:H23" si="1">SUM(D4/G4*60)</f>
        <v>17.777777777777779</v>
      </c>
      <c r="I4" s="10">
        <v>45</v>
      </c>
      <c r="J4" s="3" t="s">
        <v>49</v>
      </c>
      <c r="K4" s="3">
        <v>16</v>
      </c>
      <c r="L4" s="3"/>
    </row>
    <row r="5" spans="1:12" x14ac:dyDescent="0.25">
      <c r="A5" s="5">
        <v>44259</v>
      </c>
      <c r="B5" s="3" t="s">
        <v>50</v>
      </c>
      <c r="C5" s="8">
        <v>3</v>
      </c>
      <c r="D5" s="3">
        <v>107</v>
      </c>
      <c r="E5" s="6">
        <v>4</v>
      </c>
      <c r="F5" s="6">
        <v>2</v>
      </c>
      <c r="G5" s="3">
        <f t="shared" si="0"/>
        <v>242</v>
      </c>
      <c r="H5" s="4">
        <f t="shared" si="1"/>
        <v>26.528925619834713</v>
      </c>
      <c r="I5" s="19">
        <v>372</v>
      </c>
      <c r="J5" s="3"/>
      <c r="K5" s="3"/>
      <c r="L5" s="3">
        <v>107</v>
      </c>
    </row>
    <row r="6" spans="1:12" x14ac:dyDescent="0.25">
      <c r="A6" s="5">
        <v>44261</v>
      </c>
      <c r="B6" s="3" t="s">
        <v>51</v>
      </c>
      <c r="C6" s="8">
        <v>4</v>
      </c>
      <c r="D6" s="3">
        <v>80</v>
      </c>
      <c r="E6" s="6">
        <v>3</v>
      </c>
      <c r="F6" s="6">
        <v>9</v>
      </c>
      <c r="G6" s="3">
        <f t="shared" si="0"/>
        <v>189</v>
      </c>
      <c r="H6" s="4">
        <f t="shared" si="1"/>
        <v>25.396825396825395</v>
      </c>
      <c r="I6" s="19">
        <v>252</v>
      </c>
      <c r="J6" s="3"/>
      <c r="K6" s="3"/>
      <c r="L6" s="3">
        <v>80</v>
      </c>
    </row>
    <row r="7" spans="1:12" x14ac:dyDescent="0.25">
      <c r="A7" s="5">
        <v>44261</v>
      </c>
      <c r="B7" s="3" t="s">
        <v>52</v>
      </c>
      <c r="C7" s="8">
        <v>5</v>
      </c>
      <c r="D7" s="3">
        <v>24</v>
      </c>
      <c r="E7" s="6">
        <v>1</v>
      </c>
      <c r="F7" s="6">
        <v>24</v>
      </c>
      <c r="G7" s="3">
        <f t="shared" si="0"/>
        <v>84</v>
      </c>
      <c r="H7" s="4">
        <f t="shared" si="1"/>
        <v>17.142857142857142</v>
      </c>
      <c r="I7" s="19">
        <v>42</v>
      </c>
      <c r="J7" s="3"/>
      <c r="K7" s="3">
        <v>24</v>
      </c>
      <c r="L7" s="3"/>
    </row>
    <row r="8" spans="1:12" x14ac:dyDescent="0.25">
      <c r="A8" s="5">
        <v>44264</v>
      </c>
      <c r="B8" s="3" t="s">
        <v>53</v>
      </c>
      <c r="C8" s="8">
        <v>6</v>
      </c>
      <c r="D8" s="3">
        <v>110</v>
      </c>
      <c r="E8" s="6">
        <v>4</v>
      </c>
      <c r="F8" s="6">
        <v>15</v>
      </c>
      <c r="G8" s="3">
        <f t="shared" si="0"/>
        <v>255</v>
      </c>
      <c r="H8" s="4">
        <f t="shared" si="1"/>
        <v>25.882352941176471</v>
      </c>
      <c r="I8" s="19">
        <v>472</v>
      </c>
      <c r="J8" s="3"/>
      <c r="K8" s="3"/>
      <c r="L8" s="3">
        <v>110</v>
      </c>
    </row>
    <row r="9" spans="1:12" x14ac:dyDescent="0.25">
      <c r="A9" s="5">
        <v>44265</v>
      </c>
      <c r="B9" s="3" t="s">
        <v>54</v>
      </c>
      <c r="C9" s="8">
        <v>7</v>
      </c>
      <c r="D9" s="3">
        <v>26</v>
      </c>
      <c r="E9" s="6">
        <v>1</v>
      </c>
      <c r="F9" s="6">
        <v>30</v>
      </c>
      <c r="G9" s="3">
        <f t="shared" si="0"/>
        <v>90</v>
      </c>
      <c r="H9" s="4">
        <f t="shared" si="1"/>
        <v>17.333333333333332</v>
      </c>
      <c r="I9" s="19">
        <v>73</v>
      </c>
      <c r="J9" s="3"/>
      <c r="K9" s="3">
        <v>26</v>
      </c>
      <c r="L9" s="3"/>
    </row>
    <row r="10" spans="1:12" x14ac:dyDescent="0.25">
      <c r="A10" s="5">
        <v>44271</v>
      </c>
      <c r="B10" s="3" t="s">
        <v>55</v>
      </c>
      <c r="C10" s="8">
        <v>8</v>
      </c>
      <c r="D10" s="3">
        <v>106</v>
      </c>
      <c r="E10" s="6">
        <v>4</v>
      </c>
      <c r="F10" s="6">
        <v>5</v>
      </c>
      <c r="G10" s="3">
        <f t="shared" si="0"/>
        <v>245</v>
      </c>
      <c r="H10" s="4">
        <f t="shared" si="1"/>
        <v>25.95918367346939</v>
      </c>
      <c r="I10" s="10">
        <v>324</v>
      </c>
      <c r="J10" s="3"/>
      <c r="K10" s="3"/>
      <c r="L10" s="3">
        <v>106</v>
      </c>
    </row>
    <row r="11" spans="1:12" x14ac:dyDescent="0.25">
      <c r="A11" s="5">
        <v>44273</v>
      </c>
      <c r="B11" s="3" t="s">
        <v>56</v>
      </c>
      <c r="C11" s="8">
        <v>9</v>
      </c>
      <c r="D11" s="3">
        <v>108</v>
      </c>
      <c r="E11" s="6">
        <v>4</v>
      </c>
      <c r="F11" s="6">
        <v>12</v>
      </c>
      <c r="G11" s="3">
        <f t="shared" si="0"/>
        <v>252</v>
      </c>
      <c r="H11" s="4">
        <f t="shared" si="1"/>
        <v>25.714285714285712</v>
      </c>
      <c r="I11" s="4">
        <v>406</v>
      </c>
      <c r="J11" s="3"/>
      <c r="K11" s="3"/>
      <c r="L11" s="3">
        <v>108</v>
      </c>
    </row>
    <row r="12" spans="1:12" x14ac:dyDescent="0.25">
      <c r="A12" s="5">
        <v>44275</v>
      </c>
      <c r="B12" s="3" t="s">
        <v>57</v>
      </c>
      <c r="C12" s="8">
        <v>10</v>
      </c>
      <c r="D12" s="3">
        <v>74</v>
      </c>
      <c r="E12" s="6">
        <v>2</v>
      </c>
      <c r="F12" s="6">
        <v>56</v>
      </c>
      <c r="G12" s="3">
        <f t="shared" si="0"/>
        <v>176</v>
      </c>
      <c r="H12" s="4">
        <f t="shared" si="1"/>
        <v>25.227272727272727</v>
      </c>
      <c r="I12" s="4">
        <v>232</v>
      </c>
      <c r="J12" s="3"/>
      <c r="K12" s="3"/>
      <c r="L12" s="3">
        <v>74</v>
      </c>
    </row>
    <row r="13" spans="1:12" x14ac:dyDescent="0.25">
      <c r="A13" s="5">
        <v>44275</v>
      </c>
      <c r="B13" s="3" t="s">
        <v>52</v>
      </c>
      <c r="C13" s="8">
        <v>11</v>
      </c>
      <c r="D13" s="3">
        <v>25.5</v>
      </c>
      <c r="E13" s="6">
        <v>1</v>
      </c>
      <c r="F13" s="6">
        <v>27</v>
      </c>
      <c r="G13" s="3">
        <f t="shared" si="0"/>
        <v>87</v>
      </c>
      <c r="H13" s="4">
        <f t="shared" si="1"/>
        <v>17.586206896551722</v>
      </c>
      <c r="I13" s="4">
        <v>98</v>
      </c>
      <c r="J13" s="3"/>
      <c r="K13" s="3">
        <v>25.5</v>
      </c>
      <c r="L13" s="3"/>
    </row>
    <row r="14" spans="1:12" x14ac:dyDescent="0.25">
      <c r="A14" s="5">
        <v>44278</v>
      </c>
      <c r="B14" s="3" t="s">
        <v>58</v>
      </c>
      <c r="C14" s="8">
        <v>12</v>
      </c>
      <c r="D14" s="3">
        <v>110</v>
      </c>
      <c r="E14" s="6">
        <v>4</v>
      </c>
      <c r="F14" s="6">
        <v>22</v>
      </c>
      <c r="G14" s="3">
        <f t="shared" si="0"/>
        <v>262</v>
      </c>
      <c r="H14" s="4">
        <f t="shared" si="1"/>
        <v>25.190839694656486</v>
      </c>
      <c r="I14" s="4">
        <v>571</v>
      </c>
      <c r="J14" s="15"/>
      <c r="K14" s="3"/>
      <c r="L14" s="3">
        <v>110</v>
      </c>
    </row>
    <row r="15" spans="1:12" x14ac:dyDescent="0.25">
      <c r="A15" s="5">
        <v>44279</v>
      </c>
      <c r="B15" s="3" t="s">
        <v>59</v>
      </c>
      <c r="C15" s="8">
        <v>13</v>
      </c>
      <c r="D15" s="3">
        <v>39</v>
      </c>
      <c r="E15" s="6">
        <v>1</v>
      </c>
      <c r="F15" s="6">
        <v>59</v>
      </c>
      <c r="G15" s="3">
        <f t="shared" si="0"/>
        <v>119</v>
      </c>
      <c r="H15" s="4">
        <f t="shared" si="1"/>
        <v>19.663865546218489</v>
      </c>
      <c r="I15" s="4">
        <v>97</v>
      </c>
      <c r="J15" s="17"/>
      <c r="K15" s="3"/>
      <c r="L15" s="3">
        <v>39</v>
      </c>
    </row>
    <row r="16" spans="1:12" x14ac:dyDescent="0.25">
      <c r="A16" s="5">
        <v>44280</v>
      </c>
      <c r="B16" s="3" t="s">
        <v>60</v>
      </c>
      <c r="C16" s="8">
        <v>14</v>
      </c>
      <c r="D16" s="3">
        <v>103</v>
      </c>
      <c r="E16" s="6">
        <v>4</v>
      </c>
      <c r="F16" s="6">
        <v>7</v>
      </c>
      <c r="G16" s="3">
        <f t="shared" si="0"/>
        <v>247</v>
      </c>
      <c r="H16" s="4">
        <f t="shared" si="1"/>
        <v>25.020242914979757</v>
      </c>
      <c r="I16" s="4">
        <v>407</v>
      </c>
      <c r="J16" s="15"/>
      <c r="K16" s="3"/>
      <c r="L16" s="3">
        <v>103</v>
      </c>
    </row>
    <row r="17" spans="1:12" x14ac:dyDescent="0.25">
      <c r="A17" s="5">
        <v>44282</v>
      </c>
      <c r="B17" s="3" t="s">
        <v>61</v>
      </c>
      <c r="C17" s="8">
        <v>15</v>
      </c>
      <c r="D17" s="3">
        <v>77</v>
      </c>
      <c r="E17" s="6">
        <v>3</v>
      </c>
      <c r="F17" s="6">
        <v>6</v>
      </c>
      <c r="G17" s="3">
        <f t="shared" si="0"/>
        <v>186</v>
      </c>
      <c r="H17" s="4">
        <f t="shared" si="1"/>
        <v>24.838709677419356</v>
      </c>
      <c r="I17" s="4">
        <v>311</v>
      </c>
      <c r="J17" s="15"/>
      <c r="K17" s="3"/>
      <c r="L17" s="3">
        <v>77</v>
      </c>
    </row>
    <row r="18" spans="1:12" x14ac:dyDescent="0.25">
      <c r="A18" s="5">
        <v>44282</v>
      </c>
      <c r="B18" s="3" t="s">
        <v>62</v>
      </c>
      <c r="C18" s="8">
        <v>16</v>
      </c>
      <c r="D18" s="3">
        <v>24</v>
      </c>
      <c r="E18" s="6">
        <v>1</v>
      </c>
      <c r="F18" s="6">
        <v>32</v>
      </c>
      <c r="G18" s="3">
        <f t="shared" si="0"/>
        <v>92</v>
      </c>
      <c r="H18" s="4">
        <f t="shared" si="1"/>
        <v>15.652173913043478</v>
      </c>
      <c r="I18" s="4">
        <v>46</v>
      </c>
      <c r="J18" s="15"/>
      <c r="K18" s="3">
        <v>24</v>
      </c>
      <c r="L18" s="3"/>
    </row>
    <row r="19" spans="1:12" x14ac:dyDescent="0.25">
      <c r="A19" s="5">
        <v>44284</v>
      </c>
      <c r="B19" s="3" t="s">
        <v>63</v>
      </c>
      <c r="C19" s="8">
        <v>17</v>
      </c>
      <c r="D19" s="3">
        <v>40</v>
      </c>
      <c r="E19" s="6">
        <v>1</v>
      </c>
      <c r="F19" s="6">
        <v>40</v>
      </c>
      <c r="G19" s="3">
        <f t="shared" si="0"/>
        <v>100</v>
      </c>
      <c r="H19" s="4">
        <f t="shared" si="1"/>
        <v>24</v>
      </c>
      <c r="I19" s="4">
        <v>100</v>
      </c>
      <c r="J19" s="3" t="s">
        <v>64</v>
      </c>
      <c r="K19" s="3"/>
      <c r="L19" s="3"/>
    </row>
    <row r="20" spans="1:12" x14ac:dyDescent="0.25">
      <c r="A20" s="5">
        <v>44285</v>
      </c>
      <c r="B20" s="3" t="s">
        <v>65</v>
      </c>
      <c r="C20" s="8">
        <v>18</v>
      </c>
      <c r="D20" s="3">
        <v>112</v>
      </c>
      <c r="E20" s="6">
        <v>4</v>
      </c>
      <c r="F20" s="6">
        <v>16</v>
      </c>
      <c r="G20" s="3">
        <f t="shared" si="0"/>
        <v>256</v>
      </c>
      <c r="H20" s="4">
        <f t="shared" si="1"/>
        <v>26.25</v>
      </c>
      <c r="I20" s="4">
        <v>401</v>
      </c>
      <c r="J20" s="3"/>
      <c r="K20" s="3"/>
      <c r="L20" s="3">
        <v>112</v>
      </c>
    </row>
    <row r="21" spans="1:12" x14ac:dyDescent="0.25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  <c r="K21" s="3"/>
      <c r="L21" s="3"/>
    </row>
    <row r="22" spans="1:12" x14ac:dyDescent="0.25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  <c r="K22" s="3"/>
      <c r="L22" s="3"/>
    </row>
    <row r="23" spans="1:12" x14ac:dyDescent="0.25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  <c r="K23" s="3"/>
      <c r="L23" s="3"/>
    </row>
    <row r="24" spans="1:12" x14ac:dyDescent="0.25">
      <c r="D24">
        <f>SUM(D3:D23)</f>
        <v>1195.5</v>
      </c>
      <c r="I24" s="2">
        <f>SUM(I3:I23)</f>
        <v>4296</v>
      </c>
      <c r="K24">
        <f>SUM(K3:K23)</f>
        <v>129.5</v>
      </c>
      <c r="L24">
        <f>SUM(L3:L23)</f>
        <v>1026</v>
      </c>
    </row>
    <row r="25" spans="1:12" x14ac:dyDescent="0.25">
      <c r="B25">
        <f>SUM(Fév!B25+Mar!D24)</f>
        <v>2810</v>
      </c>
      <c r="H25" s="2">
        <f>SUM(Fév!H25+Mar!I24)</f>
        <v>11045</v>
      </c>
      <c r="K25">
        <f>SUM(Fév!K25+Mar!K24)</f>
        <v>144.5</v>
      </c>
      <c r="L25">
        <f>SUM(Fév!L25+Mar!L24)</f>
        <v>2625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5"/>
  <sheetViews>
    <sheetView workbookViewId="0">
      <selection activeCell="K30" sqref="K30"/>
    </sheetView>
  </sheetViews>
  <sheetFormatPr baseColWidth="10" defaultRowHeight="15" x14ac:dyDescent="0.2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7.85546875" style="2" customWidth="1"/>
    <col min="10" max="10" width="20.140625" customWidth="1"/>
    <col min="11" max="11" width="8.28515625" customWidth="1"/>
    <col min="12" max="12" width="6.28515625" customWidth="1"/>
  </cols>
  <sheetData>
    <row r="1" spans="1:12" ht="27" thickBot="1" x14ac:dyDescent="0.45">
      <c r="A1" s="81" t="s">
        <v>10</v>
      </c>
      <c r="B1" s="81"/>
      <c r="C1" s="81"/>
      <c r="D1" s="81"/>
      <c r="E1" s="81"/>
      <c r="F1" s="81"/>
      <c r="G1" s="81"/>
      <c r="H1" s="26">
        <f>SUM(Janv!H1)</f>
        <v>2021</v>
      </c>
      <c r="I1" s="26"/>
      <c r="J1" s="26"/>
    </row>
    <row r="2" spans="1:12" ht="19.5" thickBot="1" x14ac:dyDescent="0.35">
      <c r="A2" s="11" t="s">
        <v>0</v>
      </c>
      <c r="B2" s="12" t="s">
        <v>1</v>
      </c>
      <c r="C2" s="12" t="s">
        <v>6</v>
      </c>
      <c r="D2" s="12" t="s">
        <v>2</v>
      </c>
      <c r="E2" s="80" t="s">
        <v>3</v>
      </c>
      <c r="F2" s="80"/>
      <c r="G2" s="80"/>
      <c r="H2" s="13" t="s">
        <v>4</v>
      </c>
      <c r="I2" s="31" t="s">
        <v>19</v>
      </c>
      <c r="J2" s="14" t="s">
        <v>5</v>
      </c>
      <c r="K2" s="64" t="s">
        <v>21</v>
      </c>
      <c r="L2" s="65" t="s">
        <v>22</v>
      </c>
    </row>
    <row r="3" spans="1:12" x14ac:dyDescent="0.25">
      <c r="A3" s="7">
        <v>44287</v>
      </c>
      <c r="B3" s="8" t="s">
        <v>66</v>
      </c>
      <c r="C3" s="8">
        <v>1</v>
      </c>
      <c r="D3" s="8">
        <v>125</v>
      </c>
      <c r="E3" s="9">
        <v>4</v>
      </c>
      <c r="F3" s="9">
        <v>45</v>
      </c>
      <c r="G3" s="8">
        <f>SUM(E3*60+F3)</f>
        <v>285</v>
      </c>
      <c r="H3" s="10">
        <f>SUM(D3/G3*60)</f>
        <v>26.315789473684209</v>
      </c>
      <c r="I3" s="10">
        <v>441</v>
      </c>
      <c r="J3" s="8"/>
      <c r="K3" s="8">
        <v>0</v>
      </c>
      <c r="L3" s="8">
        <v>125</v>
      </c>
    </row>
    <row r="4" spans="1:12" x14ac:dyDescent="0.25">
      <c r="A4" s="5">
        <v>44289</v>
      </c>
      <c r="B4" s="3" t="s">
        <v>67</v>
      </c>
      <c r="C4" s="8">
        <v>2</v>
      </c>
      <c r="D4" s="3">
        <v>85</v>
      </c>
      <c r="E4" s="6">
        <v>3</v>
      </c>
      <c r="F4" s="6">
        <v>31</v>
      </c>
      <c r="G4" s="3">
        <f t="shared" ref="G4:G23" si="0">SUM(E4*60+F4)</f>
        <v>211</v>
      </c>
      <c r="H4" s="4">
        <f t="shared" ref="H4:H23" si="1">SUM(D4/G4*60)</f>
        <v>24.170616113744074</v>
      </c>
      <c r="I4" s="10">
        <v>261</v>
      </c>
      <c r="J4" s="3"/>
      <c r="K4" s="3"/>
      <c r="L4" s="3">
        <v>85</v>
      </c>
    </row>
    <row r="5" spans="1:12" x14ac:dyDescent="0.25">
      <c r="A5" s="5">
        <v>44292</v>
      </c>
      <c r="B5" s="3" t="s">
        <v>68</v>
      </c>
      <c r="C5" s="8">
        <v>3</v>
      </c>
      <c r="D5" s="3">
        <v>72</v>
      </c>
      <c r="E5" s="6">
        <v>2</v>
      </c>
      <c r="F5" s="6">
        <v>54</v>
      </c>
      <c r="G5" s="3">
        <f t="shared" si="0"/>
        <v>174</v>
      </c>
      <c r="H5" s="4">
        <f t="shared" si="1"/>
        <v>24.827586206896552</v>
      </c>
      <c r="I5" s="19">
        <v>366</v>
      </c>
      <c r="J5" s="3"/>
      <c r="K5" s="3"/>
      <c r="L5" s="3">
        <v>72</v>
      </c>
    </row>
    <row r="6" spans="1:12" x14ac:dyDescent="0.25">
      <c r="A6" s="5">
        <v>44293</v>
      </c>
      <c r="B6" s="3" t="s">
        <v>70</v>
      </c>
      <c r="C6" s="8">
        <v>4</v>
      </c>
      <c r="D6" s="3">
        <v>82</v>
      </c>
      <c r="E6" s="6">
        <v>3</v>
      </c>
      <c r="F6" s="6">
        <v>26</v>
      </c>
      <c r="G6" s="3">
        <f t="shared" si="0"/>
        <v>206</v>
      </c>
      <c r="H6" s="4">
        <f t="shared" si="1"/>
        <v>23.883495145631066</v>
      </c>
      <c r="I6" s="19">
        <v>519</v>
      </c>
      <c r="J6" s="3"/>
      <c r="K6" s="3"/>
      <c r="L6" s="3">
        <v>82</v>
      </c>
    </row>
    <row r="7" spans="1:12" x14ac:dyDescent="0.25">
      <c r="A7" s="5">
        <v>44294</v>
      </c>
      <c r="B7" s="3" t="s">
        <v>70</v>
      </c>
      <c r="C7" s="8">
        <v>5</v>
      </c>
      <c r="D7" s="3">
        <v>80</v>
      </c>
      <c r="E7" s="6">
        <v>3</v>
      </c>
      <c r="F7" s="6">
        <v>9</v>
      </c>
      <c r="G7" s="3">
        <f t="shared" si="0"/>
        <v>189</v>
      </c>
      <c r="H7" s="4">
        <f t="shared" si="1"/>
        <v>25.396825396825395</v>
      </c>
      <c r="I7" s="19">
        <v>570</v>
      </c>
      <c r="J7" s="3"/>
      <c r="K7" s="3"/>
      <c r="L7" s="3">
        <v>80</v>
      </c>
    </row>
    <row r="8" spans="1:12" x14ac:dyDescent="0.25">
      <c r="A8" s="16">
        <v>44296</v>
      </c>
      <c r="B8" s="15" t="s">
        <v>69</v>
      </c>
      <c r="C8" s="17">
        <v>6</v>
      </c>
      <c r="D8" s="15">
        <v>41</v>
      </c>
      <c r="E8" s="18">
        <v>2</v>
      </c>
      <c r="F8" s="18">
        <v>10</v>
      </c>
      <c r="G8" s="15">
        <f t="shared" si="0"/>
        <v>130</v>
      </c>
      <c r="H8" s="19">
        <f t="shared" si="1"/>
        <v>18.923076923076923</v>
      </c>
      <c r="I8" s="19">
        <v>166</v>
      </c>
      <c r="J8" s="15" t="s">
        <v>71</v>
      </c>
      <c r="K8" s="3"/>
      <c r="L8" s="3">
        <v>41</v>
      </c>
    </row>
    <row r="9" spans="1:12" x14ac:dyDescent="0.25">
      <c r="A9" s="16">
        <v>44299</v>
      </c>
      <c r="B9" s="15" t="s">
        <v>72</v>
      </c>
      <c r="C9" s="17">
        <v>7</v>
      </c>
      <c r="D9" s="15">
        <v>92</v>
      </c>
      <c r="E9" s="18">
        <v>4</v>
      </c>
      <c r="F9" s="18">
        <v>7</v>
      </c>
      <c r="G9" s="15">
        <f t="shared" si="0"/>
        <v>247</v>
      </c>
      <c r="H9" s="19">
        <f t="shared" si="1"/>
        <v>22.348178137651821</v>
      </c>
      <c r="I9" s="19">
        <v>343</v>
      </c>
      <c r="J9" s="15"/>
      <c r="K9" s="37"/>
      <c r="L9" s="3">
        <v>92</v>
      </c>
    </row>
    <row r="10" spans="1:12" x14ac:dyDescent="0.25">
      <c r="A10" s="16">
        <v>44300</v>
      </c>
      <c r="B10" s="15" t="s">
        <v>73</v>
      </c>
      <c r="C10" s="17">
        <v>8</v>
      </c>
      <c r="D10" s="15">
        <v>84</v>
      </c>
      <c r="E10" s="18">
        <v>3</v>
      </c>
      <c r="F10" s="18">
        <v>27</v>
      </c>
      <c r="G10" s="15">
        <f t="shared" si="0"/>
        <v>207</v>
      </c>
      <c r="H10" s="19">
        <f t="shared" si="1"/>
        <v>24.347826086956523</v>
      </c>
      <c r="I10" s="10">
        <v>551</v>
      </c>
      <c r="J10" s="15"/>
      <c r="K10" s="3"/>
      <c r="L10" s="3">
        <v>84</v>
      </c>
    </row>
    <row r="11" spans="1:12" x14ac:dyDescent="0.25">
      <c r="A11" s="16">
        <v>44305</v>
      </c>
      <c r="B11" s="15" t="s">
        <v>74</v>
      </c>
      <c r="C11" s="17">
        <v>9</v>
      </c>
      <c r="D11" s="15">
        <v>21</v>
      </c>
      <c r="E11" s="18">
        <v>1</v>
      </c>
      <c r="F11" s="18">
        <v>15</v>
      </c>
      <c r="G11" s="15">
        <f t="shared" si="0"/>
        <v>75</v>
      </c>
      <c r="H11" s="19">
        <f t="shared" si="1"/>
        <v>16.8</v>
      </c>
      <c r="I11" s="4">
        <v>68</v>
      </c>
      <c r="J11" s="15" t="s">
        <v>75</v>
      </c>
      <c r="K11" s="3"/>
      <c r="L11" s="3"/>
    </row>
    <row r="12" spans="1:12" x14ac:dyDescent="0.25">
      <c r="A12" s="16">
        <v>44306</v>
      </c>
      <c r="B12" s="15" t="s">
        <v>76</v>
      </c>
      <c r="C12" s="17">
        <v>10</v>
      </c>
      <c r="D12" s="15">
        <v>101</v>
      </c>
      <c r="E12" s="18">
        <v>3</v>
      </c>
      <c r="F12" s="18">
        <v>38</v>
      </c>
      <c r="G12" s="15">
        <f t="shared" si="0"/>
        <v>218</v>
      </c>
      <c r="H12" s="19">
        <f t="shared" si="1"/>
        <v>27.798165137614678</v>
      </c>
      <c r="I12" s="4">
        <v>363</v>
      </c>
      <c r="J12" s="15"/>
      <c r="K12" s="3"/>
      <c r="L12" s="3">
        <v>101</v>
      </c>
    </row>
    <row r="13" spans="1:12" x14ac:dyDescent="0.25">
      <c r="A13" s="5">
        <v>44307</v>
      </c>
      <c r="B13" s="3" t="s">
        <v>74</v>
      </c>
      <c r="C13" s="8">
        <v>11</v>
      </c>
      <c r="D13" s="3">
        <v>23</v>
      </c>
      <c r="E13" s="6">
        <v>1</v>
      </c>
      <c r="F13" s="6">
        <v>22</v>
      </c>
      <c r="G13" s="3">
        <f t="shared" si="0"/>
        <v>82</v>
      </c>
      <c r="H13" s="4">
        <f t="shared" si="1"/>
        <v>16.829268292682929</v>
      </c>
      <c r="I13" s="4">
        <v>79</v>
      </c>
      <c r="J13" s="3" t="s">
        <v>75</v>
      </c>
      <c r="K13" s="3"/>
      <c r="L13" s="3"/>
    </row>
    <row r="14" spans="1:12" x14ac:dyDescent="0.25">
      <c r="A14" s="5">
        <v>44308</v>
      </c>
      <c r="B14" s="3" t="s">
        <v>77</v>
      </c>
      <c r="C14" s="8">
        <v>12</v>
      </c>
      <c r="D14" s="3">
        <v>102</v>
      </c>
      <c r="E14" s="6">
        <v>3</v>
      </c>
      <c r="F14" s="6">
        <v>48</v>
      </c>
      <c r="G14" s="3">
        <f t="shared" si="0"/>
        <v>228</v>
      </c>
      <c r="H14" s="4">
        <f t="shared" si="1"/>
        <v>26.842105263157894</v>
      </c>
      <c r="I14" s="4">
        <v>430</v>
      </c>
      <c r="J14" s="3"/>
      <c r="K14" s="3"/>
      <c r="L14" s="3">
        <v>102</v>
      </c>
    </row>
    <row r="15" spans="1:12" x14ac:dyDescent="0.25">
      <c r="A15" s="5">
        <v>44310</v>
      </c>
      <c r="B15" s="3" t="s">
        <v>78</v>
      </c>
      <c r="C15" s="8">
        <v>13</v>
      </c>
      <c r="D15" s="3">
        <v>79</v>
      </c>
      <c r="E15" s="6">
        <v>3</v>
      </c>
      <c r="F15" s="6">
        <v>20</v>
      </c>
      <c r="G15" s="3">
        <f t="shared" si="0"/>
        <v>200</v>
      </c>
      <c r="H15" s="4">
        <f t="shared" si="1"/>
        <v>23.700000000000003</v>
      </c>
      <c r="I15" s="4">
        <v>413</v>
      </c>
      <c r="J15" s="3"/>
      <c r="K15" s="3"/>
      <c r="L15" s="3">
        <v>79</v>
      </c>
    </row>
    <row r="16" spans="1:12" x14ac:dyDescent="0.25">
      <c r="A16" s="5">
        <v>44310</v>
      </c>
      <c r="B16" s="3" t="s">
        <v>46</v>
      </c>
      <c r="C16" s="8">
        <v>14</v>
      </c>
      <c r="D16" s="3">
        <v>28</v>
      </c>
      <c r="E16" s="6">
        <v>1</v>
      </c>
      <c r="F16" s="6">
        <v>46</v>
      </c>
      <c r="G16" s="3">
        <f t="shared" si="0"/>
        <v>106</v>
      </c>
      <c r="H16" s="4">
        <f t="shared" si="1"/>
        <v>15.849056603773585</v>
      </c>
      <c r="I16" s="4">
        <v>78</v>
      </c>
      <c r="J16" s="3"/>
      <c r="K16" s="3">
        <v>28</v>
      </c>
      <c r="L16" s="3"/>
    </row>
    <row r="17" spans="1:12" x14ac:dyDescent="0.25">
      <c r="A17" s="5">
        <v>44310</v>
      </c>
      <c r="B17" s="3" t="s">
        <v>46</v>
      </c>
      <c r="C17" s="8">
        <v>15</v>
      </c>
      <c r="D17" s="3">
        <v>15</v>
      </c>
      <c r="E17" s="6"/>
      <c r="F17" s="6">
        <v>45</v>
      </c>
      <c r="G17" s="3">
        <f t="shared" si="0"/>
        <v>45</v>
      </c>
      <c r="H17" s="4">
        <f t="shared" si="1"/>
        <v>20</v>
      </c>
      <c r="I17" s="4"/>
      <c r="J17" s="3" t="s">
        <v>79</v>
      </c>
      <c r="K17" s="3">
        <v>15</v>
      </c>
      <c r="L17" s="3"/>
    </row>
    <row r="18" spans="1:12" x14ac:dyDescent="0.25">
      <c r="A18" s="5">
        <v>44313</v>
      </c>
      <c r="B18" s="3" t="s">
        <v>80</v>
      </c>
      <c r="C18" s="8">
        <v>16</v>
      </c>
      <c r="D18" s="3">
        <v>101</v>
      </c>
      <c r="E18" s="6">
        <v>3</v>
      </c>
      <c r="F18" s="6">
        <v>43</v>
      </c>
      <c r="G18" s="3">
        <f t="shared" si="0"/>
        <v>223</v>
      </c>
      <c r="H18" s="4">
        <f t="shared" si="1"/>
        <v>27.174887892376681</v>
      </c>
      <c r="I18" s="4">
        <v>354</v>
      </c>
      <c r="J18" s="3"/>
      <c r="K18" s="3"/>
      <c r="L18" s="3">
        <v>101</v>
      </c>
    </row>
    <row r="19" spans="1:12" x14ac:dyDescent="0.25">
      <c r="A19" s="5">
        <v>44315</v>
      </c>
      <c r="B19" s="3" t="s">
        <v>81</v>
      </c>
      <c r="C19" s="8">
        <v>17</v>
      </c>
      <c r="D19" s="3">
        <v>100</v>
      </c>
      <c r="E19" s="6">
        <v>3</v>
      </c>
      <c r="F19" s="6">
        <v>46</v>
      </c>
      <c r="G19" s="3">
        <f t="shared" si="0"/>
        <v>226</v>
      </c>
      <c r="H19" s="4">
        <f t="shared" si="1"/>
        <v>26.548672566371682</v>
      </c>
      <c r="I19" s="4">
        <v>556</v>
      </c>
      <c r="J19" s="3"/>
      <c r="K19" s="3"/>
      <c r="L19" s="3">
        <v>100</v>
      </c>
    </row>
    <row r="20" spans="1:12" x14ac:dyDescent="0.25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  <c r="K20" s="3"/>
      <c r="L20" s="3"/>
    </row>
    <row r="21" spans="1:12" x14ac:dyDescent="0.25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  <c r="K21" s="3"/>
      <c r="L21" s="3"/>
    </row>
    <row r="22" spans="1:12" x14ac:dyDescent="0.25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  <c r="K22" s="3"/>
      <c r="L22" s="3"/>
    </row>
    <row r="23" spans="1:12" x14ac:dyDescent="0.25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  <c r="K23" s="3"/>
      <c r="L23" s="3"/>
    </row>
    <row r="24" spans="1:12" x14ac:dyDescent="0.25">
      <c r="D24">
        <f>SUM(D3:D23)</f>
        <v>1231</v>
      </c>
      <c r="I24" s="2">
        <f>SUM(I3:I23)</f>
        <v>5558</v>
      </c>
      <c r="K24">
        <f>SUM(K3:K23)</f>
        <v>43</v>
      </c>
      <c r="L24">
        <f>SUM(L3:L23)</f>
        <v>1144</v>
      </c>
    </row>
    <row r="25" spans="1:12" x14ac:dyDescent="0.25">
      <c r="B25">
        <f>SUM(Mar!B25+Avr!D24)</f>
        <v>4041</v>
      </c>
      <c r="H25" s="2">
        <f>SUM(Mar!H25+Avr!I24)</f>
        <v>16603</v>
      </c>
      <c r="K25">
        <f>SUM(Mar!K25+Avr!K24)</f>
        <v>187.5</v>
      </c>
      <c r="L25">
        <f>SUM(Mar!L25+Avr!L24)</f>
        <v>3769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howOutlineSymbols="0"/>
  </sheetPr>
  <dimension ref="A1:L25"/>
  <sheetViews>
    <sheetView showOutlineSymbols="0" workbookViewId="0">
      <selection activeCell="K25" sqref="K25"/>
    </sheetView>
  </sheetViews>
  <sheetFormatPr baseColWidth="10" defaultRowHeight="15" outlineLevelRow="1" outlineLevelCol="2" x14ac:dyDescent="0.25"/>
  <cols>
    <col min="2" max="2" width="34.28515625" customWidth="1"/>
    <col min="3" max="3" width="4" customWidth="1"/>
    <col min="4" max="4" width="12" customWidth="1" outlineLevel="1"/>
    <col min="5" max="5" width="5.7109375" style="1" customWidth="1" outlineLevel="2"/>
    <col min="6" max="6" width="5.85546875" customWidth="1" outlineLevel="2"/>
    <col min="7" max="7" width="5.7109375" customWidth="1" outlineLevel="1"/>
    <col min="8" max="9" width="11.42578125" style="2"/>
    <col min="10" max="10" width="18.5703125" customWidth="1"/>
  </cols>
  <sheetData>
    <row r="1" spans="1:12" ht="27" thickBot="1" x14ac:dyDescent="0.45">
      <c r="A1" s="81" t="s">
        <v>11</v>
      </c>
      <c r="B1" s="81"/>
      <c r="C1" s="81"/>
      <c r="D1" s="81"/>
      <c r="E1" s="81"/>
      <c r="F1" s="81"/>
      <c r="G1" s="81"/>
      <c r="H1" s="26">
        <f>SUM(Janv!H1)</f>
        <v>2021</v>
      </c>
      <c r="I1" s="26"/>
      <c r="J1" s="26"/>
    </row>
    <row r="2" spans="1:12" ht="19.5" thickBot="1" x14ac:dyDescent="0.35">
      <c r="A2" s="11" t="s">
        <v>0</v>
      </c>
      <c r="B2" s="12" t="s">
        <v>1</v>
      </c>
      <c r="C2" s="12" t="s">
        <v>6</v>
      </c>
      <c r="D2" s="12" t="s">
        <v>2</v>
      </c>
      <c r="E2" s="80" t="s">
        <v>3</v>
      </c>
      <c r="F2" s="80"/>
      <c r="G2" s="80"/>
      <c r="H2" s="13" t="s">
        <v>4</v>
      </c>
      <c r="I2" s="31" t="s">
        <v>19</v>
      </c>
      <c r="J2" s="14" t="s">
        <v>5</v>
      </c>
      <c r="K2" s="64" t="s">
        <v>21</v>
      </c>
      <c r="L2" s="65" t="s">
        <v>22</v>
      </c>
    </row>
    <row r="3" spans="1:12" outlineLevel="1" x14ac:dyDescent="0.25">
      <c r="A3" s="7">
        <v>44317</v>
      </c>
      <c r="B3" s="8" t="s">
        <v>82</v>
      </c>
      <c r="C3" s="8">
        <v>1</v>
      </c>
      <c r="D3" s="8">
        <v>84</v>
      </c>
      <c r="E3" s="9">
        <v>3</v>
      </c>
      <c r="F3" s="9">
        <v>15</v>
      </c>
      <c r="G3" s="8">
        <f>SUM(E3*60+F3)</f>
        <v>195</v>
      </c>
      <c r="H3" s="10">
        <f>SUM(D3/G3*60)</f>
        <v>25.846153846153847</v>
      </c>
      <c r="I3" s="10">
        <v>279</v>
      </c>
      <c r="J3" s="8"/>
      <c r="K3" s="8">
        <v>14</v>
      </c>
      <c r="L3" s="8">
        <v>84</v>
      </c>
    </row>
    <row r="4" spans="1:12" outlineLevel="1" x14ac:dyDescent="0.25">
      <c r="A4" s="5">
        <v>44324</v>
      </c>
      <c r="B4" s="3" t="s">
        <v>83</v>
      </c>
      <c r="C4" s="8">
        <v>2</v>
      </c>
      <c r="D4" s="3">
        <v>82</v>
      </c>
      <c r="E4" s="6">
        <v>3</v>
      </c>
      <c r="F4" s="6">
        <v>17</v>
      </c>
      <c r="G4" s="3">
        <f t="shared" ref="G4:G23" si="0">SUM(E4*60+F4)</f>
        <v>197</v>
      </c>
      <c r="H4" s="4">
        <f t="shared" ref="H4:H23" si="1">SUM(D4/G4*60)</f>
        <v>24.974619289340104</v>
      </c>
      <c r="I4" s="10">
        <v>374</v>
      </c>
      <c r="J4" s="3"/>
      <c r="K4" s="3"/>
      <c r="L4" s="3">
        <v>82</v>
      </c>
    </row>
    <row r="5" spans="1:12" outlineLevel="1" x14ac:dyDescent="0.25">
      <c r="A5" s="16">
        <v>44324</v>
      </c>
      <c r="B5" t="s">
        <v>84</v>
      </c>
      <c r="C5" s="17">
        <v>3</v>
      </c>
      <c r="D5" s="15">
        <v>27</v>
      </c>
      <c r="E5" s="18">
        <v>1</v>
      </c>
      <c r="F5" s="18">
        <v>45</v>
      </c>
      <c r="G5" s="15">
        <f t="shared" si="0"/>
        <v>105</v>
      </c>
      <c r="H5" s="19">
        <f t="shared" si="1"/>
        <v>15.428571428571427</v>
      </c>
      <c r="I5" s="19">
        <v>116</v>
      </c>
      <c r="J5" s="15"/>
      <c r="K5" s="3">
        <v>27</v>
      </c>
      <c r="L5" s="3"/>
    </row>
    <row r="6" spans="1:12" outlineLevel="1" x14ac:dyDescent="0.25">
      <c r="A6" s="16">
        <v>44327</v>
      </c>
      <c r="B6" s="15" t="s">
        <v>85</v>
      </c>
      <c r="C6" s="17">
        <v>4</v>
      </c>
      <c r="D6" s="15">
        <v>109</v>
      </c>
      <c r="E6" s="18">
        <v>4</v>
      </c>
      <c r="F6" s="18">
        <v>22</v>
      </c>
      <c r="G6" s="15">
        <f t="shared" si="0"/>
        <v>262</v>
      </c>
      <c r="H6" s="19">
        <f t="shared" si="1"/>
        <v>24.961832061068705</v>
      </c>
      <c r="I6" s="19">
        <v>471</v>
      </c>
      <c r="J6" s="15"/>
      <c r="K6" s="3"/>
      <c r="L6" s="3">
        <v>109</v>
      </c>
    </row>
    <row r="7" spans="1:12" outlineLevel="1" x14ac:dyDescent="0.25">
      <c r="A7" s="16">
        <v>44331</v>
      </c>
      <c r="B7" s="15" t="s">
        <v>86</v>
      </c>
      <c r="C7" s="17">
        <v>5</v>
      </c>
      <c r="D7" s="15">
        <v>85</v>
      </c>
      <c r="E7" s="18">
        <v>3</v>
      </c>
      <c r="F7" s="18">
        <v>17</v>
      </c>
      <c r="G7" s="15">
        <f t="shared" si="0"/>
        <v>197</v>
      </c>
      <c r="H7" s="19">
        <f t="shared" si="1"/>
        <v>25.888324873096447</v>
      </c>
      <c r="I7" s="19">
        <v>419</v>
      </c>
      <c r="J7" s="15"/>
      <c r="K7" s="3"/>
      <c r="L7" s="3">
        <v>85</v>
      </c>
    </row>
    <row r="8" spans="1:12" outlineLevel="1" x14ac:dyDescent="0.25">
      <c r="A8" s="16">
        <v>44334</v>
      </c>
      <c r="B8" s="15" t="s">
        <v>87</v>
      </c>
      <c r="C8" s="17">
        <v>6</v>
      </c>
      <c r="D8" s="15">
        <v>113</v>
      </c>
      <c r="E8" s="18">
        <v>4</v>
      </c>
      <c r="F8" s="18">
        <v>31</v>
      </c>
      <c r="G8" s="15">
        <f t="shared" si="0"/>
        <v>271</v>
      </c>
      <c r="H8" s="19">
        <f t="shared" si="1"/>
        <v>25.018450184501845</v>
      </c>
      <c r="I8" s="19">
        <v>457</v>
      </c>
      <c r="J8" s="15"/>
      <c r="K8" s="3"/>
      <c r="L8" s="3">
        <v>113</v>
      </c>
    </row>
    <row r="9" spans="1:12" outlineLevel="1" x14ac:dyDescent="0.25">
      <c r="A9" s="16">
        <v>44336</v>
      </c>
      <c r="B9" s="15" t="s">
        <v>88</v>
      </c>
      <c r="C9" s="17">
        <v>7</v>
      </c>
      <c r="D9" s="15">
        <v>106</v>
      </c>
      <c r="E9" s="18">
        <v>4</v>
      </c>
      <c r="F9" s="18">
        <v>10</v>
      </c>
      <c r="G9" s="15">
        <f t="shared" si="0"/>
        <v>250</v>
      </c>
      <c r="H9" s="19">
        <f t="shared" si="1"/>
        <v>25.439999999999998</v>
      </c>
      <c r="I9" s="19">
        <v>525</v>
      </c>
      <c r="J9" s="15"/>
      <c r="K9" s="37"/>
      <c r="L9" s="3">
        <v>106</v>
      </c>
    </row>
    <row r="10" spans="1:12" outlineLevel="1" x14ac:dyDescent="0.25">
      <c r="A10" s="16">
        <v>44338</v>
      </c>
      <c r="B10" s="15" t="s">
        <v>89</v>
      </c>
      <c r="C10" s="17">
        <v>8</v>
      </c>
      <c r="D10" s="15">
        <v>83</v>
      </c>
      <c r="E10" s="18">
        <v>3</v>
      </c>
      <c r="F10" s="18">
        <v>25</v>
      </c>
      <c r="G10" s="15">
        <f t="shared" si="0"/>
        <v>205</v>
      </c>
      <c r="H10" s="19">
        <f t="shared" si="1"/>
        <v>24.292682926829269</v>
      </c>
      <c r="I10" s="10">
        <v>335</v>
      </c>
      <c r="J10" s="15"/>
      <c r="K10" s="3"/>
      <c r="L10" s="3">
        <v>83</v>
      </c>
    </row>
    <row r="11" spans="1:12" outlineLevel="1" x14ac:dyDescent="0.25">
      <c r="A11" s="16">
        <v>44341</v>
      </c>
      <c r="B11" s="15" t="s">
        <v>90</v>
      </c>
      <c r="C11" s="17">
        <v>9</v>
      </c>
      <c r="D11" s="15">
        <v>105</v>
      </c>
      <c r="E11" s="18">
        <v>4</v>
      </c>
      <c r="F11" s="18"/>
      <c r="G11" s="15">
        <f t="shared" si="0"/>
        <v>240</v>
      </c>
      <c r="H11" s="19">
        <f t="shared" si="1"/>
        <v>26.25</v>
      </c>
      <c r="I11" s="4">
        <v>377</v>
      </c>
      <c r="J11" s="15"/>
      <c r="K11" s="3"/>
      <c r="L11" s="3">
        <v>105</v>
      </c>
    </row>
    <row r="12" spans="1:12" outlineLevel="1" x14ac:dyDescent="0.25">
      <c r="A12" s="16">
        <v>44343</v>
      </c>
      <c r="B12" s="8" t="s">
        <v>91</v>
      </c>
      <c r="C12" s="17">
        <v>10</v>
      </c>
      <c r="D12" s="15">
        <v>107</v>
      </c>
      <c r="E12" s="18">
        <v>3</v>
      </c>
      <c r="F12" s="18">
        <v>58</v>
      </c>
      <c r="G12" s="15">
        <f t="shared" si="0"/>
        <v>238</v>
      </c>
      <c r="H12" s="19">
        <f t="shared" si="1"/>
        <v>26.974789915966387</v>
      </c>
      <c r="I12" s="4">
        <v>499</v>
      </c>
      <c r="J12" s="15"/>
      <c r="K12" s="3"/>
      <c r="L12" s="3">
        <v>107</v>
      </c>
    </row>
    <row r="13" spans="1:12" outlineLevel="1" x14ac:dyDescent="0.25">
      <c r="A13" s="5">
        <v>44345</v>
      </c>
      <c r="B13" s="3" t="s">
        <v>92</v>
      </c>
      <c r="C13" s="8">
        <v>11</v>
      </c>
      <c r="D13" s="3">
        <v>119</v>
      </c>
      <c r="E13" s="6">
        <v>5</v>
      </c>
      <c r="F13" s="6">
        <v>5</v>
      </c>
      <c r="G13" s="3">
        <f t="shared" si="0"/>
        <v>305</v>
      </c>
      <c r="H13" s="4">
        <f t="shared" si="1"/>
        <v>23.409836065573771</v>
      </c>
      <c r="I13" s="4">
        <v>453</v>
      </c>
      <c r="J13" s="15"/>
      <c r="K13" s="3"/>
      <c r="L13" s="3">
        <v>119</v>
      </c>
    </row>
    <row r="14" spans="1:12" outlineLevel="1" x14ac:dyDescent="0.25">
      <c r="A14" s="5">
        <v>44345</v>
      </c>
      <c r="B14" s="3" t="s">
        <v>93</v>
      </c>
      <c r="C14" s="8">
        <v>12</v>
      </c>
      <c r="D14" s="3">
        <v>36</v>
      </c>
      <c r="E14" s="6">
        <v>2</v>
      </c>
      <c r="F14" s="6">
        <v>8</v>
      </c>
      <c r="G14" s="3">
        <f t="shared" si="0"/>
        <v>128</v>
      </c>
      <c r="H14" s="4">
        <f t="shared" si="1"/>
        <v>16.875</v>
      </c>
      <c r="I14" s="4">
        <v>78</v>
      </c>
      <c r="J14" s="15"/>
      <c r="K14" s="3">
        <v>36</v>
      </c>
      <c r="L14" s="3"/>
    </row>
    <row r="15" spans="1:12" outlineLevel="1" x14ac:dyDescent="0.25">
      <c r="A15" s="16"/>
      <c r="B15" s="15"/>
      <c r="C15" s="17">
        <v>13</v>
      </c>
      <c r="D15" s="15"/>
      <c r="E15" s="18"/>
      <c r="F15" s="18"/>
      <c r="G15" s="15">
        <f t="shared" si="0"/>
        <v>0</v>
      </c>
      <c r="H15" s="19" t="e">
        <f t="shared" si="1"/>
        <v>#DIV/0!</v>
      </c>
      <c r="I15" s="4"/>
      <c r="J15" s="15"/>
      <c r="K15" s="3"/>
      <c r="L15" s="3"/>
    </row>
    <row r="16" spans="1:12" outlineLevel="1" x14ac:dyDescent="0.25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4"/>
      <c r="J16" s="15"/>
      <c r="K16" s="3"/>
      <c r="L16" s="3"/>
    </row>
    <row r="17" spans="1:12" outlineLevel="1" x14ac:dyDescent="0.25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4"/>
      <c r="J17" s="15"/>
      <c r="K17" s="3"/>
      <c r="L17" s="3"/>
    </row>
    <row r="18" spans="1:12" outlineLevel="1" x14ac:dyDescent="0.25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  <c r="K18" s="3"/>
      <c r="L18" s="3"/>
    </row>
    <row r="19" spans="1:12" outlineLevel="1" x14ac:dyDescent="0.25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  <c r="K19" s="3"/>
      <c r="L19" s="3"/>
    </row>
    <row r="20" spans="1:12" outlineLevel="1" x14ac:dyDescent="0.25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  <c r="K20" s="3"/>
      <c r="L20" s="3"/>
    </row>
    <row r="21" spans="1:12" outlineLevel="1" x14ac:dyDescent="0.25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  <c r="K21" s="3"/>
      <c r="L21" s="3"/>
    </row>
    <row r="22" spans="1:12" outlineLevel="1" x14ac:dyDescent="0.25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  <c r="K22" s="3"/>
      <c r="L22" s="3"/>
    </row>
    <row r="23" spans="1:12" outlineLevel="1" x14ac:dyDescent="0.25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  <c r="K23" s="3"/>
      <c r="L23" s="3"/>
    </row>
    <row r="24" spans="1:12" x14ac:dyDescent="0.25">
      <c r="D24">
        <f>SUM(D3:D23)</f>
        <v>1056</v>
      </c>
      <c r="I24" s="2">
        <f>SUM(I3:I23)</f>
        <v>4383</v>
      </c>
      <c r="K24">
        <f>SUM(K3:K23)</f>
        <v>77</v>
      </c>
      <c r="L24">
        <f>SUM(L3:L23)</f>
        <v>993</v>
      </c>
    </row>
    <row r="25" spans="1:12" x14ac:dyDescent="0.25">
      <c r="B25">
        <f>SUM(Avr!B25+Mai!D24)</f>
        <v>5097</v>
      </c>
      <c r="H25" s="2">
        <f>SUM(Avr!H25+Mai!I24)</f>
        <v>20986</v>
      </c>
      <c r="K25">
        <f>SUM(Avr!K25+Mai!K24)</f>
        <v>264.5</v>
      </c>
      <c r="L25">
        <f>SUM(Avr!L25+Mai!L24)</f>
        <v>4762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0"/>
  <sheetViews>
    <sheetView workbookViewId="0">
      <selection activeCell="K29" sqref="K29"/>
    </sheetView>
  </sheetViews>
  <sheetFormatPr baseColWidth="10" defaultRowHeight="15" x14ac:dyDescent="0.2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  <col min="11" max="11" width="8.42578125" customWidth="1"/>
    <col min="12" max="12" width="6.85546875" customWidth="1"/>
  </cols>
  <sheetData>
    <row r="1" spans="1:12" ht="27" thickBot="1" x14ac:dyDescent="0.45">
      <c r="A1" s="81" t="s">
        <v>12</v>
      </c>
      <c r="B1" s="81"/>
      <c r="C1" s="81"/>
      <c r="D1" s="81"/>
      <c r="E1" s="81"/>
      <c r="F1" s="81"/>
      <c r="G1" s="81"/>
      <c r="H1" s="26">
        <f>SUM(Janv!H1)</f>
        <v>2021</v>
      </c>
      <c r="I1" s="26"/>
      <c r="J1" s="26"/>
    </row>
    <row r="2" spans="1:12" ht="19.5" thickBot="1" x14ac:dyDescent="0.35">
      <c r="A2" s="11" t="s">
        <v>0</v>
      </c>
      <c r="B2" s="12" t="s">
        <v>1</v>
      </c>
      <c r="C2" s="12" t="s">
        <v>6</v>
      </c>
      <c r="D2" s="12" t="s">
        <v>2</v>
      </c>
      <c r="E2" s="80" t="s">
        <v>3</v>
      </c>
      <c r="F2" s="80"/>
      <c r="G2" s="80"/>
      <c r="H2" s="13" t="s">
        <v>4</v>
      </c>
      <c r="I2" s="31" t="s">
        <v>19</v>
      </c>
      <c r="J2" s="14" t="s">
        <v>5</v>
      </c>
      <c r="K2" s="64" t="s">
        <v>21</v>
      </c>
      <c r="L2" s="65" t="s">
        <v>22</v>
      </c>
    </row>
    <row r="3" spans="1:12" x14ac:dyDescent="0.25">
      <c r="A3" s="7">
        <v>44348</v>
      </c>
      <c r="B3" s="8" t="s">
        <v>94</v>
      </c>
      <c r="C3" s="8">
        <v>1</v>
      </c>
      <c r="D3" s="8">
        <v>109</v>
      </c>
      <c r="E3" s="9">
        <v>4</v>
      </c>
      <c r="F3" s="9">
        <v>1</v>
      </c>
      <c r="G3" s="8">
        <f>SUM(E3*60+F3)</f>
        <v>241</v>
      </c>
      <c r="H3" s="10">
        <f>SUM(D3/G3*60)</f>
        <v>27.136929460580912</v>
      </c>
      <c r="I3" s="10">
        <v>374</v>
      </c>
      <c r="J3" s="15"/>
      <c r="K3" s="8">
        <v>14</v>
      </c>
      <c r="L3" s="8">
        <v>109</v>
      </c>
    </row>
    <row r="4" spans="1:12" x14ac:dyDescent="0.25">
      <c r="A4" s="5">
        <v>44350</v>
      </c>
      <c r="B4" s="3" t="s">
        <v>95</v>
      </c>
      <c r="C4" s="8">
        <v>2</v>
      </c>
      <c r="D4" s="3">
        <v>87</v>
      </c>
      <c r="E4" s="6">
        <v>3</v>
      </c>
      <c r="F4" s="6">
        <v>54</v>
      </c>
      <c r="G4" s="8">
        <f t="shared" ref="G4:G20" si="0">SUM(E4*60+F4)</f>
        <v>234</v>
      </c>
      <c r="H4" s="4">
        <f t="shared" ref="H4:H28" si="1">SUM(D4/G4*60)</f>
        <v>22.307692307692307</v>
      </c>
      <c r="I4" s="10">
        <v>344</v>
      </c>
      <c r="J4" s="15"/>
      <c r="K4" s="3"/>
      <c r="L4" s="3">
        <v>87</v>
      </c>
    </row>
    <row r="5" spans="1:12" x14ac:dyDescent="0.25">
      <c r="A5" s="5">
        <v>44352</v>
      </c>
      <c r="B5" s="3" t="s">
        <v>96</v>
      </c>
      <c r="C5" s="8">
        <v>3</v>
      </c>
      <c r="D5" s="3">
        <v>84</v>
      </c>
      <c r="E5" s="6">
        <v>3</v>
      </c>
      <c r="F5" s="6">
        <v>16</v>
      </c>
      <c r="G5" s="8">
        <f t="shared" si="0"/>
        <v>196</v>
      </c>
      <c r="H5" s="4">
        <f t="shared" si="1"/>
        <v>25.714285714285712</v>
      </c>
      <c r="I5" s="19">
        <v>266</v>
      </c>
      <c r="J5" s="15"/>
      <c r="K5" s="3"/>
      <c r="L5" s="3">
        <v>84</v>
      </c>
    </row>
    <row r="6" spans="1:12" x14ac:dyDescent="0.25">
      <c r="A6" s="16">
        <v>44352</v>
      </c>
      <c r="B6" s="15" t="s">
        <v>46</v>
      </c>
      <c r="C6" s="17">
        <v>4</v>
      </c>
      <c r="D6" s="15">
        <v>36</v>
      </c>
      <c r="E6" s="18">
        <v>2</v>
      </c>
      <c r="F6" s="18">
        <v>1</v>
      </c>
      <c r="G6" s="8">
        <f t="shared" si="0"/>
        <v>121</v>
      </c>
      <c r="H6" s="19">
        <f t="shared" si="1"/>
        <v>17.851239669421489</v>
      </c>
      <c r="I6" s="19">
        <v>121</v>
      </c>
      <c r="J6" s="15"/>
      <c r="K6" s="3">
        <v>36</v>
      </c>
      <c r="L6" s="3"/>
    </row>
    <row r="7" spans="1:12" x14ac:dyDescent="0.25">
      <c r="A7" s="16">
        <v>44353</v>
      </c>
      <c r="B7" s="15" t="s">
        <v>97</v>
      </c>
      <c r="C7" s="17">
        <v>5</v>
      </c>
      <c r="D7" s="15">
        <v>32</v>
      </c>
      <c r="E7" s="18">
        <v>1</v>
      </c>
      <c r="F7" s="18">
        <v>38</v>
      </c>
      <c r="G7" s="8">
        <f t="shared" si="0"/>
        <v>98</v>
      </c>
      <c r="H7" s="19">
        <f t="shared" si="1"/>
        <v>19.591836734693874</v>
      </c>
      <c r="I7" s="19">
        <v>131</v>
      </c>
      <c r="J7" s="15"/>
      <c r="K7" s="3"/>
      <c r="L7" s="3">
        <v>32</v>
      </c>
    </row>
    <row r="8" spans="1:12" x14ac:dyDescent="0.25">
      <c r="A8" s="16">
        <v>44354</v>
      </c>
      <c r="B8" s="15" t="s">
        <v>98</v>
      </c>
      <c r="C8" s="17">
        <v>6</v>
      </c>
      <c r="D8" s="15">
        <v>44</v>
      </c>
      <c r="E8" s="18">
        <v>2</v>
      </c>
      <c r="F8" s="18">
        <v>37</v>
      </c>
      <c r="G8" s="8">
        <f t="shared" si="0"/>
        <v>157</v>
      </c>
      <c r="H8" s="19">
        <f t="shared" si="1"/>
        <v>16.815286624203821</v>
      </c>
      <c r="I8" s="19">
        <v>768</v>
      </c>
      <c r="J8" s="15"/>
      <c r="K8" s="3">
        <v>44</v>
      </c>
      <c r="L8" s="3"/>
    </row>
    <row r="9" spans="1:12" x14ac:dyDescent="0.25">
      <c r="A9" s="16">
        <v>44355</v>
      </c>
      <c r="B9" s="15" t="s">
        <v>99</v>
      </c>
      <c r="C9" s="17">
        <v>7</v>
      </c>
      <c r="D9" s="15">
        <v>89</v>
      </c>
      <c r="E9" s="18">
        <v>4</v>
      </c>
      <c r="F9" s="18">
        <v>28</v>
      </c>
      <c r="G9" s="8">
        <f t="shared" si="0"/>
        <v>268</v>
      </c>
      <c r="H9" s="19">
        <f t="shared" si="1"/>
        <v>19.92537313432836</v>
      </c>
      <c r="I9" s="19">
        <v>1193</v>
      </c>
      <c r="J9" s="15"/>
      <c r="K9" s="6">
        <v>89</v>
      </c>
      <c r="L9" s="3"/>
    </row>
    <row r="10" spans="1:12" x14ac:dyDescent="0.25">
      <c r="A10" s="16">
        <v>44355</v>
      </c>
      <c r="B10" s="15" t="s">
        <v>101</v>
      </c>
      <c r="C10" s="17">
        <v>8</v>
      </c>
      <c r="D10" s="15">
        <v>35</v>
      </c>
      <c r="E10" s="18">
        <v>1</v>
      </c>
      <c r="F10" s="18">
        <v>26</v>
      </c>
      <c r="G10" s="8">
        <f t="shared" si="0"/>
        <v>86</v>
      </c>
      <c r="H10" s="19">
        <f t="shared" si="1"/>
        <v>24.418604651162791</v>
      </c>
      <c r="I10" s="10">
        <v>447</v>
      </c>
      <c r="J10" s="15"/>
      <c r="K10" s="3">
        <v>35</v>
      </c>
      <c r="L10" s="3"/>
    </row>
    <row r="11" spans="1:12" x14ac:dyDescent="0.25">
      <c r="A11" s="16">
        <v>44356</v>
      </c>
      <c r="B11" s="15" t="s">
        <v>102</v>
      </c>
      <c r="C11" s="17">
        <v>9</v>
      </c>
      <c r="D11" s="15">
        <v>107</v>
      </c>
      <c r="E11" s="18">
        <v>5</v>
      </c>
      <c r="F11" s="18">
        <v>47</v>
      </c>
      <c r="G11" s="8">
        <f t="shared" si="0"/>
        <v>347</v>
      </c>
      <c r="H11" s="19">
        <f t="shared" si="1"/>
        <v>18.501440922190202</v>
      </c>
      <c r="I11" s="4">
        <v>1622</v>
      </c>
      <c r="J11" s="15"/>
      <c r="K11" s="3">
        <v>107</v>
      </c>
      <c r="L11" s="3"/>
    </row>
    <row r="12" spans="1:12" x14ac:dyDescent="0.25">
      <c r="A12" s="16">
        <v>44357</v>
      </c>
      <c r="B12" s="15" t="s">
        <v>100</v>
      </c>
      <c r="C12" s="17">
        <v>10</v>
      </c>
      <c r="D12" s="15">
        <v>52</v>
      </c>
      <c r="E12" s="18">
        <v>2</v>
      </c>
      <c r="F12" s="18">
        <v>34</v>
      </c>
      <c r="G12" s="8">
        <f t="shared" si="0"/>
        <v>154</v>
      </c>
      <c r="H12" s="19">
        <f t="shared" si="1"/>
        <v>20.259740259740258</v>
      </c>
      <c r="I12" s="4">
        <v>712</v>
      </c>
      <c r="J12" s="15"/>
      <c r="K12" s="3">
        <v>52</v>
      </c>
      <c r="L12" s="3"/>
    </row>
    <row r="13" spans="1:12" x14ac:dyDescent="0.25">
      <c r="A13" s="16">
        <v>44359</v>
      </c>
      <c r="B13" s="15" t="s">
        <v>82</v>
      </c>
      <c r="C13" s="17">
        <v>11</v>
      </c>
      <c r="D13" s="15">
        <v>89</v>
      </c>
      <c r="E13" s="18">
        <v>3</v>
      </c>
      <c r="F13" s="18">
        <v>37</v>
      </c>
      <c r="G13" s="8">
        <f t="shared" si="0"/>
        <v>217</v>
      </c>
      <c r="H13" s="19">
        <f t="shared" si="1"/>
        <v>24.608294930875577</v>
      </c>
      <c r="I13" s="4">
        <v>348</v>
      </c>
      <c r="J13" s="15"/>
      <c r="K13" s="3"/>
      <c r="L13" s="3">
        <v>89</v>
      </c>
    </row>
    <row r="14" spans="1:12" x14ac:dyDescent="0.25">
      <c r="A14" s="16">
        <v>44359</v>
      </c>
      <c r="B14" s="16" t="s">
        <v>46</v>
      </c>
      <c r="C14" s="17">
        <v>12</v>
      </c>
      <c r="D14" s="15">
        <v>24</v>
      </c>
      <c r="E14" s="18">
        <v>1</v>
      </c>
      <c r="F14" s="18">
        <v>29</v>
      </c>
      <c r="G14" s="8">
        <f t="shared" si="0"/>
        <v>89</v>
      </c>
      <c r="H14" s="19">
        <f t="shared" si="1"/>
        <v>16.179775280898877</v>
      </c>
      <c r="I14" s="4">
        <v>55</v>
      </c>
      <c r="J14" s="15"/>
      <c r="K14" s="3">
        <v>24</v>
      </c>
      <c r="L14" s="3"/>
    </row>
    <row r="15" spans="1:12" x14ac:dyDescent="0.25">
      <c r="A15" s="16">
        <v>44361</v>
      </c>
      <c r="B15" s="67" t="s">
        <v>104</v>
      </c>
      <c r="C15" s="68">
        <v>13</v>
      </c>
      <c r="D15" s="67">
        <v>76</v>
      </c>
      <c r="E15" s="69">
        <v>4</v>
      </c>
      <c r="F15" s="69">
        <v>52</v>
      </c>
      <c r="G15" s="68">
        <f t="shared" si="0"/>
        <v>292</v>
      </c>
      <c r="H15" s="70">
        <f t="shared" si="1"/>
        <v>15.616438356164382</v>
      </c>
      <c r="I15" s="70">
        <v>587</v>
      </c>
      <c r="J15" s="67" t="s">
        <v>120</v>
      </c>
      <c r="K15" s="3"/>
      <c r="L15" s="3"/>
    </row>
    <row r="16" spans="1:12" x14ac:dyDescent="0.25">
      <c r="A16" s="16">
        <v>44362</v>
      </c>
      <c r="B16" s="67" t="s">
        <v>103</v>
      </c>
      <c r="C16" s="68">
        <v>14</v>
      </c>
      <c r="D16" s="67">
        <v>80</v>
      </c>
      <c r="E16" s="69">
        <v>6</v>
      </c>
      <c r="F16" s="69">
        <v>2</v>
      </c>
      <c r="G16" s="68">
        <f t="shared" si="0"/>
        <v>362</v>
      </c>
      <c r="H16" s="70">
        <f t="shared" si="1"/>
        <v>13.259668508287293</v>
      </c>
      <c r="I16" s="70">
        <v>849</v>
      </c>
      <c r="J16" s="67" t="s">
        <v>120</v>
      </c>
      <c r="K16" s="3"/>
      <c r="L16" s="3"/>
    </row>
    <row r="17" spans="1:14" x14ac:dyDescent="0.25">
      <c r="A17" s="16">
        <v>44363</v>
      </c>
      <c r="B17" s="67" t="s">
        <v>105</v>
      </c>
      <c r="C17" s="68">
        <v>15</v>
      </c>
      <c r="D17" s="67">
        <v>79</v>
      </c>
      <c r="E17" s="69">
        <v>6</v>
      </c>
      <c r="F17" s="69">
        <v>2</v>
      </c>
      <c r="G17" s="68">
        <f t="shared" si="0"/>
        <v>362</v>
      </c>
      <c r="H17" s="70">
        <f t="shared" si="1"/>
        <v>13.093922651933701</v>
      </c>
      <c r="I17" s="70">
        <v>1365</v>
      </c>
      <c r="J17" s="67" t="s">
        <v>120</v>
      </c>
      <c r="K17" s="3"/>
      <c r="L17" s="3"/>
    </row>
    <row r="18" spans="1:14" x14ac:dyDescent="0.25">
      <c r="A18" s="66">
        <v>44364</v>
      </c>
      <c r="B18" s="67" t="s">
        <v>106</v>
      </c>
      <c r="C18" s="68">
        <v>16</v>
      </c>
      <c r="D18" s="67">
        <v>55</v>
      </c>
      <c r="E18" s="69">
        <v>4</v>
      </c>
      <c r="F18" s="69">
        <v>12</v>
      </c>
      <c r="G18" s="68">
        <f t="shared" si="0"/>
        <v>252</v>
      </c>
      <c r="H18" s="70">
        <f t="shared" si="1"/>
        <v>13.095238095238095</v>
      </c>
      <c r="I18" s="70">
        <v>510</v>
      </c>
      <c r="J18" s="67" t="s">
        <v>120</v>
      </c>
      <c r="K18" s="3"/>
      <c r="L18" s="3"/>
    </row>
    <row r="19" spans="1:14" x14ac:dyDescent="0.25">
      <c r="A19" s="5">
        <v>44365</v>
      </c>
      <c r="B19" s="67" t="s">
        <v>107</v>
      </c>
      <c r="C19" s="68">
        <v>17</v>
      </c>
      <c r="D19" s="67">
        <v>62</v>
      </c>
      <c r="E19" s="69">
        <v>4</v>
      </c>
      <c r="F19" s="69">
        <v>20</v>
      </c>
      <c r="G19" s="68">
        <f t="shared" si="0"/>
        <v>260</v>
      </c>
      <c r="H19" s="70">
        <f t="shared" si="1"/>
        <v>14.307692307692308</v>
      </c>
      <c r="I19" s="70">
        <v>600</v>
      </c>
      <c r="J19" s="67" t="s">
        <v>120</v>
      </c>
      <c r="K19" s="3"/>
      <c r="L19" s="3"/>
    </row>
    <row r="20" spans="1:14" x14ac:dyDescent="0.25">
      <c r="A20" s="5">
        <v>44366</v>
      </c>
      <c r="B20" s="67" t="s">
        <v>108</v>
      </c>
      <c r="C20" s="68">
        <v>18</v>
      </c>
      <c r="D20" s="67">
        <v>64</v>
      </c>
      <c r="E20" s="69">
        <v>4</v>
      </c>
      <c r="F20" s="69">
        <v>36</v>
      </c>
      <c r="G20" s="68">
        <f t="shared" si="0"/>
        <v>276</v>
      </c>
      <c r="H20" s="70">
        <f t="shared" si="1"/>
        <v>13.913043478260869</v>
      </c>
      <c r="I20" s="70">
        <v>613</v>
      </c>
      <c r="J20" s="67" t="s">
        <v>120</v>
      </c>
      <c r="K20" s="3"/>
      <c r="L20" s="3"/>
    </row>
    <row r="21" spans="1:14" x14ac:dyDescent="0.25">
      <c r="A21" s="5">
        <v>44367</v>
      </c>
      <c r="B21" s="67" t="s">
        <v>109</v>
      </c>
      <c r="C21" s="68">
        <v>19</v>
      </c>
      <c r="D21" s="67">
        <v>62</v>
      </c>
      <c r="E21" s="69">
        <v>4</v>
      </c>
      <c r="F21" s="69">
        <v>24</v>
      </c>
      <c r="G21" s="67">
        <f t="shared" ref="G21:G28" si="2">SUM(E21*60+F21)</f>
        <v>264</v>
      </c>
      <c r="H21" s="70">
        <f t="shared" si="1"/>
        <v>14.090909090909092</v>
      </c>
      <c r="I21" s="70">
        <v>867</v>
      </c>
      <c r="J21" s="67" t="s">
        <v>120</v>
      </c>
      <c r="K21" s="3"/>
      <c r="L21" s="3"/>
    </row>
    <row r="22" spans="1:14" x14ac:dyDescent="0.25">
      <c r="A22" s="5">
        <v>44368</v>
      </c>
      <c r="B22" s="67" t="s">
        <v>111</v>
      </c>
      <c r="C22" s="68">
        <v>20</v>
      </c>
      <c r="D22" s="67">
        <v>75</v>
      </c>
      <c r="E22" s="69">
        <v>5</v>
      </c>
      <c r="F22" s="69"/>
      <c r="G22" s="67">
        <f t="shared" si="2"/>
        <v>300</v>
      </c>
      <c r="H22" s="70">
        <f t="shared" si="1"/>
        <v>15</v>
      </c>
      <c r="I22" s="70">
        <v>893</v>
      </c>
      <c r="J22" s="67" t="s">
        <v>120</v>
      </c>
      <c r="K22" s="3"/>
      <c r="L22" s="3"/>
    </row>
    <row r="23" spans="1:14" x14ac:dyDescent="0.25">
      <c r="A23" s="5">
        <v>44369</v>
      </c>
      <c r="B23" s="67" t="s">
        <v>110</v>
      </c>
      <c r="C23" s="68">
        <v>21</v>
      </c>
      <c r="D23" s="67">
        <v>69</v>
      </c>
      <c r="E23" s="69">
        <v>4</v>
      </c>
      <c r="F23" s="69">
        <v>30</v>
      </c>
      <c r="G23" s="67">
        <f t="shared" si="2"/>
        <v>270</v>
      </c>
      <c r="H23" s="70">
        <f t="shared" si="1"/>
        <v>15.333333333333332</v>
      </c>
      <c r="I23" s="70">
        <v>703</v>
      </c>
      <c r="J23" s="67" t="s">
        <v>120</v>
      </c>
      <c r="K23" s="3"/>
      <c r="L23" s="3"/>
      <c r="N23" s="2"/>
    </row>
    <row r="24" spans="1:14" x14ac:dyDescent="0.25">
      <c r="A24" s="5">
        <v>44371</v>
      </c>
      <c r="B24" s="15" t="s">
        <v>112</v>
      </c>
      <c r="C24" s="8">
        <v>22</v>
      </c>
      <c r="D24" s="3">
        <v>95</v>
      </c>
      <c r="E24" s="6">
        <v>3</v>
      </c>
      <c r="F24" s="6">
        <v>44</v>
      </c>
      <c r="G24" s="3">
        <f t="shared" si="2"/>
        <v>224</v>
      </c>
      <c r="H24" s="4">
        <f t="shared" si="1"/>
        <v>25.446428571428569</v>
      </c>
      <c r="I24" s="4">
        <v>302</v>
      </c>
      <c r="J24" s="15"/>
      <c r="K24" s="3"/>
      <c r="L24" s="3">
        <v>95</v>
      </c>
    </row>
    <row r="25" spans="1:14" x14ac:dyDescent="0.25">
      <c r="A25" s="5">
        <v>44373</v>
      </c>
      <c r="B25" s="15" t="s">
        <v>113</v>
      </c>
      <c r="C25" s="8">
        <v>23</v>
      </c>
      <c r="D25" s="3">
        <v>67</v>
      </c>
      <c r="E25" s="6">
        <v>2</v>
      </c>
      <c r="F25" s="6">
        <v>48</v>
      </c>
      <c r="G25" s="3">
        <f t="shared" si="2"/>
        <v>168</v>
      </c>
      <c r="H25" s="4">
        <f t="shared" si="1"/>
        <v>23.928571428571431</v>
      </c>
      <c r="I25" s="4">
        <v>266</v>
      </c>
      <c r="J25" s="15"/>
      <c r="K25" s="3"/>
      <c r="L25" s="3">
        <v>67</v>
      </c>
    </row>
    <row r="26" spans="1:14" x14ac:dyDescent="0.25">
      <c r="A26" s="5">
        <v>44373</v>
      </c>
      <c r="B26" s="16" t="s">
        <v>46</v>
      </c>
      <c r="C26" s="8">
        <v>24</v>
      </c>
      <c r="D26" s="3">
        <v>27</v>
      </c>
      <c r="E26" s="6">
        <v>1</v>
      </c>
      <c r="F26" s="6">
        <v>31</v>
      </c>
      <c r="G26" s="3">
        <f t="shared" si="2"/>
        <v>91</v>
      </c>
      <c r="H26" s="4">
        <f t="shared" si="1"/>
        <v>17.802197802197803</v>
      </c>
      <c r="I26" s="4">
        <v>55</v>
      </c>
      <c r="J26" s="15"/>
      <c r="K26" s="3">
        <v>27</v>
      </c>
      <c r="L26" s="3"/>
    </row>
    <row r="27" spans="1:14" x14ac:dyDescent="0.25">
      <c r="A27" s="5">
        <v>44376</v>
      </c>
      <c r="B27" s="15" t="s">
        <v>114</v>
      </c>
      <c r="C27" s="8">
        <v>25</v>
      </c>
      <c r="D27" s="3">
        <v>91</v>
      </c>
      <c r="E27" s="6">
        <v>3</v>
      </c>
      <c r="F27" s="6">
        <v>31</v>
      </c>
      <c r="G27" s="3">
        <f t="shared" si="2"/>
        <v>211</v>
      </c>
      <c r="H27" s="4">
        <f t="shared" si="1"/>
        <v>25.876777251184834</v>
      </c>
      <c r="I27" s="4">
        <v>380</v>
      </c>
      <c r="J27" s="15"/>
      <c r="K27" s="3"/>
      <c r="L27" s="3">
        <v>91</v>
      </c>
    </row>
    <row r="28" spans="1:14" x14ac:dyDescent="0.25">
      <c r="A28" s="5"/>
      <c r="B28" s="15"/>
      <c r="C28" s="3">
        <v>26</v>
      </c>
      <c r="D28" s="3"/>
      <c r="E28" s="6"/>
      <c r="F28" s="6"/>
      <c r="G28" s="3">
        <f t="shared" si="2"/>
        <v>0</v>
      </c>
      <c r="H28" s="4" t="e">
        <f t="shared" si="1"/>
        <v>#DIV/0!</v>
      </c>
      <c r="I28" s="4"/>
      <c r="J28" s="15"/>
      <c r="K28" s="3"/>
      <c r="L28" s="3"/>
    </row>
    <row r="29" spans="1:14" x14ac:dyDescent="0.25">
      <c r="D29">
        <f>SUM(D3:D28)</f>
        <v>1690</v>
      </c>
      <c r="I29" s="2">
        <f>SUM(I3:I28)</f>
        <v>14371</v>
      </c>
      <c r="K29">
        <f>SUM(K3:K28)</f>
        <v>428</v>
      </c>
      <c r="L29">
        <f>SUM(L3:L28)</f>
        <v>654</v>
      </c>
    </row>
    <row r="30" spans="1:14" x14ac:dyDescent="0.25">
      <c r="B30">
        <f>SUM(Mai!B25+Juin!D29)</f>
        <v>6787</v>
      </c>
      <c r="H30" s="2">
        <f>SUM(Mai!H25+Juin!I29)</f>
        <v>35357</v>
      </c>
      <c r="K30">
        <f>SUM(Mai!K25+Juin!K29)</f>
        <v>692.5</v>
      </c>
      <c r="L30">
        <f>SUM(Mai!L25+Juin!L29)</f>
        <v>5416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0"/>
  <sheetViews>
    <sheetView topLeftCell="D1" workbookViewId="0">
      <selection activeCell="K1" sqref="K1:L1048576"/>
    </sheetView>
  </sheetViews>
  <sheetFormatPr baseColWidth="10" defaultRowHeight="15" x14ac:dyDescent="0.2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  <col min="11" max="11" width="8.42578125" customWidth="1"/>
    <col min="12" max="12" width="6.85546875" customWidth="1"/>
  </cols>
  <sheetData>
    <row r="1" spans="1:12" ht="27" thickBot="1" x14ac:dyDescent="0.45">
      <c r="A1" s="81" t="s">
        <v>13</v>
      </c>
      <c r="B1" s="81"/>
      <c r="C1" s="81"/>
      <c r="D1" s="81"/>
      <c r="E1" s="81"/>
      <c r="F1" s="81"/>
      <c r="G1" s="81"/>
      <c r="H1" s="26">
        <f>SUM(Janv!H1)</f>
        <v>2021</v>
      </c>
      <c r="I1" s="26"/>
      <c r="J1" s="26"/>
    </row>
    <row r="2" spans="1:12" ht="19.5" thickBot="1" x14ac:dyDescent="0.35">
      <c r="A2" s="11" t="s">
        <v>0</v>
      </c>
      <c r="B2" s="12" t="s">
        <v>1</v>
      </c>
      <c r="C2" s="12" t="s">
        <v>6</v>
      </c>
      <c r="D2" s="12" t="s">
        <v>2</v>
      </c>
      <c r="E2" s="80" t="s">
        <v>3</v>
      </c>
      <c r="F2" s="80"/>
      <c r="G2" s="80"/>
      <c r="H2" s="13" t="s">
        <v>4</v>
      </c>
      <c r="I2" s="31" t="s">
        <v>19</v>
      </c>
      <c r="J2" s="14" t="s">
        <v>5</v>
      </c>
      <c r="K2" s="64" t="s">
        <v>21</v>
      </c>
      <c r="L2" s="65" t="s">
        <v>22</v>
      </c>
    </row>
    <row r="3" spans="1:12" x14ac:dyDescent="0.25">
      <c r="A3" s="20">
        <v>44378</v>
      </c>
      <c r="B3" s="17" t="s">
        <v>115</v>
      </c>
      <c r="C3" s="17">
        <v>1</v>
      </c>
      <c r="D3" s="17">
        <v>99</v>
      </c>
      <c r="E3" s="21">
        <v>3</v>
      </c>
      <c r="F3" s="21">
        <v>41</v>
      </c>
      <c r="G3" s="17">
        <f>SUM(E3*60+F3)</f>
        <v>221</v>
      </c>
      <c r="H3" s="22">
        <f>SUM(D3/G3*60)</f>
        <v>26.877828054298643</v>
      </c>
      <c r="I3" s="10">
        <v>405</v>
      </c>
      <c r="J3" s="17"/>
      <c r="K3" s="8"/>
      <c r="L3" s="8">
        <v>99</v>
      </c>
    </row>
    <row r="4" spans="1:12" x14ac:dyDescent="0.25">
      <c r="A4" s="16">
        <v>44383</v>
      </c>
      <c r="B4" s="15" t="s">
        <v>116</v>
      </c>
      <c r="C4" s="17">
        <v>2</v>
      </c>
      <c r="D4" s="15">
        <v>100</v>
      </c>
      <c r="E4" s="18">
        <v>3</v>
      </c>
      <c r="F4" s="18">
        <v>48</v>
      </c>
      <c r="G4" s="15">
        <f t="shared" ref="G4:G25" si="0">SUM(E4*60+F4)</f>
        <v>228</v>
      </c>
      <c r="H4" s="19">
        <f t="shared" ref="H4:H25" si="1">SUM(D4/G4*60)</f>
        <v>26.315789473684209</v>
      </c>
      <c r="I4" s="10">
        <v>433</v>
      </c>
      <c r="J4" s="15"/>
      <c r="K4" s="3"/>
      <c r="L4" s="3">
        <v>100</v>
      </c>
    </row>
    <row r="5" spans="1:12" x14ac:dyDescent="0.25">
      <c r="A5" s="16">
        <v>44392</v>
      </c>
      <c r="B5" s="15" t="s">
        <v>117</v>
      </c>
      <c r="C5" s="17">
        <v>3</v>
      </c>
      <c r="D5" s="15">
        <v>88</v>
      </c>
      <c r="E5" s="18">
        <v>3</v>
      </c>
      <c r="F5" s="18">
        <v>50</v>
      </c>
      <c r="G5" s="15">
        <f t="shared" si="0"/>
        <v>230</v>
      </c>
      <c r="H5" s="19">
        <f t="shared" si="1"/>
        <v>22.956521739130437</v>
      </c>
      <c r="I5" s="19">
        <v>316</v>
      </c>
      <c r="J5" s="15"/>
      <c r="K5" s="3"/>
      <c r="L5" s="3">
        <v>88</v>
      </c>
    </row>
    <row r="6" spans="1:12" x14ac:dyDescent="0.25">
      <c r="A6" s="16">
        <v>44393</v>
      </c>
      <c r="B6" s="71" t="s">
        <v>118</v>
      </c>
      <c r="C6" s="72">
        <v>4</v>
      </c>
      <c r="D6" s="71">
        <v>56</v>
      </c>
      <c r="E6" s="73">
        <v>3</v>
      </c>
      <c r="F6" s="73">
        <v>43</v>
      </c>
      <c r="G6" s="71">
        <f t="shared" si="0"/>
        <v>223</v>
      </c>
      <c r="H6" s="74">
        <f t="shared" si="1"/>
        <v>15.067264573991032</v>
      </c>
      <c r="I6" s="74">
        <v>290</v>
      </c>
      <c r="J6" s="71" t="s">
        <v>119</v>
      </c>
      <c r="K6" s="3">
        <v>56</v>
      </c>
      <c r="L6" s="3"/>
    </row>
    <row r="7" spans="1:12" x14ac:dyDescent="0.25">
      <c r="A7" s="16">
        <v>44394</v>
      </c>
      <c r="B7" s="71" t="s">
        <v>121</v>
      </c>
      <c r="C7" s="72">
        <v>5</v>
      </c>
      <c r="D7" s="71">
        <v>56</v>
      </c>
      <c r="E7" s="73">
        <v>3</v>
      </c>
      <c r="F7" s="73">
        <v>45</v>
      </c>
      <c r="G7" s="71">
        <f t="shared" si="0"/>
        <v>225</v>
      </c>
      <c r="H7" s="74">
        <f t="shared" si="1"/>
        <v>14.933333333333334</v>
      </c>
      <c r="I7" s="74">
        <v>397</v>
      </c>
      <c r="J7" s="71" t="s">
        <v>119</v>
      </c>
      <c r="K7" s="3">
        <v>56</v>
      </c>
      <c r="L7" s="3"/>
    </row>
    <row r="8" spans="1:12" x14ac:dyDescent="0.25">
      <c r="A8" s="16">
        <v>44395</v>
      </c>
      <c r="B8" s="71" t="s">
        <v>122</v>
      </c>
      <c r="C8" s="72">
        <v>7</v>
      </c>
      <c r="D8" s="71">
        <v>57</v>
      </c>
      <c r="E8" s="73">
        <v>3</v>
      </c>
      <c r="F8" s="73">
        <v>41</v>
      </c>
      <c r="G8" s="71">
        <f t="shared" ref="G8:G24" si="2">SUM(E8*60+F8)</f>
        <v>221</v>
      </c>
      <c r="H8" s="74">
        <f t="shared" ref="H8:H24" si="3">SUM(D8/G8*60)</f>
        <v>15.475113122171948</v>
      </c>
      <c r="I8" s="74">
        <v>427</v>
      </c>
      <c r="J8" s="71" t="s">
        <v>119</v>
      </c>
      <c r="K8" s="3">
        <v>57</v>
      </c>
      <c r="L8" s="3"/>
    </row>
    <row r="9" spans="1:12" x14ac:dyDescent="0.25">
      <c r="A9" s="16">
        <v>44396</v>
      </c>
      <c r="B9" s="71" t="s">
        <v>123</v>
      </c>
      <c r="C9" s="72">
        <v>8</v>
      </c>
      <c r="D9" s="71">
        <v>47</v>
      </c>
      <c r="E9" s="73">
        <v>3</v>
      </c>
      <c r="F9" s="73">
        <v>24</v>
      </c>
      <c r="G9" s="71">
        <f t="shared" si="2"/>
        <v>204</v>
      </c>
      <c r="H9" s="74">
        <f t="shared" si="3"/>
        <v>13.823529411764705</v>
      </c>
      <c r="I9" s="74">
        <v>388</v>
      </c>
      <c r="J9" s="71" t="s">
        <v>119</v>
      </c>
      <c r="K9" s="6">
        <v>47</v>
      </c>
      <c r="L9" s="3"/>
    </row>
    <row r="10" spans="1:12" s="56" customFormat="1" x14ac:dyDescent="0.25">
      <c r="A10" s="16">
        <v>44397</v>
      </c>
      <c r="B10" s="71" t="s">
        <v>124</v>
      </c>
      <c r="C10" s="72">
        <v>9</v>
      </c>
      <c r="D10" s="71">
        <v>55</v>
      </c>
      <c r="E10" s="73">
        <v>3</v>
      </c>
      <c r="F10" s="73">
        <v>32</v>
      </c>
      <c r="G10" s="71">
        <f t="shared" si="2"/>
        <v>212</v>
      </c>
      <c r="H10" s="74">
        <f t="shared" si="3"/>
        <v>15.566037735849056</v>
      </c>
      <c r="I10" s="75">
        <v>522</v>
      </c>
      <c r="J10" s="71" t="s">
        <v>119</v>
      </c>
      <c r="K10" s="3">
        <v>55</v>
      </c>
      <c r="L10" s="3"/>
    </row>
    <row r="11" spans="1:12" s="56" customFormat="1" x14ac:dyDescent="0.25">
      <c r="A11" s="16">
        <v>44398</v>
      </c>
      <c r="B11" s="71" t="s">
        <v>125</v>
      </c>
      <c r="C11" s="72">
        <v>10</v>
      </c>
      <c r="D11" s="71">
        <v>56</v>
      </c>
      <c r="E11" s="73">
        <v>3</v>
      </c>
      <c r="F11" s="73">
        <v>21</v>
      </c>
      <c r="G11" s="71">
        <f t="shared" si="2"/>
        <v>201</v>
      </c>
      <c r="H11" s="74">
        <f t="shared" si="3"/>
        <v>16.716417910447763</v>
      </c>
      <c r="I11" s="74">
        <v>164</v>
      </c>
      <c r="J11" s="71" t="s">
        <v>119</v>
      </c>
      <c r="K11" s="3">
        <v>56</v>
      </c>
      <c r="L11" s="3"/>
    </row>
    <row r="12" spans="1:12" s="56" customFormat="1" x14ac:dyDescent="0.25">
      <c r="A12" s="16">
        <v>44399</v>
      </c>
      <c r="B12" s="71" t="s">
        <v>126</v>
      </c>
      <c r="C12" s="72">
        <v>11</v>
      </c>
      <c r="D12" s="71">
        <v>59</v>
      </c>
      <c r="E12" s="73">
        <v>3</v>
      </c>
      <c r="F12" s="73">
        <v>32</v>
      </c>
      <c r="G12" s="71">
        <f t="shared" si="2"/>
        <v>212</v>
      </c>
      <c r="H12" s="74">
        <f t="shared" si="3"/>
        <v>16.69811320754717</v>
      </c>
      <c r="I12" s="74">
        <v>265</v>
      </c>
      <c r="J12" s="71" t="s">
        <v>119</v>
      </c>
      <c r="K12" s="3">
        <v>59</v>
      </c>
      <c r="L12" s="3"/>
    </row>
    <row r="13" spans="1:12" s="56" customFormat="1" x14ac:dyDescent="0.25">
      <c r="A13" s="16">
        <v>44400</v>
      </c>
      <c r="B13" s="71" t="s">
        <v>127</v>
      </c>
      <c r="C13" s="72">
        <v>12</v>
      </c>
      <c r="D13" s="71" t="s">
        <v>128</v>
      </c>
      <c r="E13" s="73"/>
      <c r="F13" s="73"/>
      <c r="G13" s="71">
        <f t="shared" si="2"/>
        <v>0</v>
      </c>
      <c r="H13" s="74" t="e">
        <f t="shared" si="3"/>
        <v>#VALUE!</v>
      </c>
      <c r="I13" s="74"/>
      <c r="J13" s="71" t="s">
        <v>119</v>
      </c>
      <c r="K13" s="3"/>
      <c r="L13" s="3"/>
    </row>
    <row r="14" spans="1:12" s="56" customFormat="1" x14ac:dyDescent="0.25">
      <c r="A14" s="16">
        <v>44401</v>
      </c>
      <c r="B14" s="71" t="s">
        <v>129</v>
      </c>
      <c r="C14" s="72">
        <v>13</v>
      </c>
      <c r="D14" s="71">
        <v>50</v>
      </c>
      <c r="E14" s="73">
        <v>3</v>
      </c>
      <c r="F14" s="73">
        <v>35</v>
      </c>
      <c r="G14" s="71">
        <f t="shared" si="2"/>
        <v>215</v>
      </c>
      <c r="H14" s="74">
        <f t="shared" si="3"/>
        <v>13.953488372093023</v>
      </c>
      <c r="I14" s="74">
        <v>629</v>
      </c>
      <c r="J14" s="71" t="s">
        <v>119</v>
      </c>
      <c r="K14" s="3">
        <v>50</v>
      </c>
      <c r="L14" s="3"/>
    </row>
    <row r="15" spans="1:12" s="56" customFormat="1" x14ac:dyDescent="0.25">
      <c r="A15" s="16">
        <v>44402</v>
      </c>
      <c r="B15" s="71" t="s">
        <v>130</v>
      </c>
      <c r="C15" s="72">
        <v>14</v>
      </c>
      <c r="D15" s="71">
        <v>53</v>
      </c>
      <c r="E15" s="73">
        <v>3</v>
      </c>
      <c r="F15" s="73">
        <v>18</v>
      </c>
      <c r="G15" s="71">
        <f t="shared" si="2"/>
        <v>198</v>
      </c>
      <c r="H15" s="74">
        <f t="shared" si="3"/>
        <v>16.060606060606062</v>
      </c>
      <c r="I15" s="74">
        <v>226</v>
      </c>
      <c r="J15" s="71" t="s">
        <v>131</v>
      </c>
      <c r="K15" s="3"/>
      <c r="L15" s="3"/>
    </row>
    <row r="16" spans="1:12" s="56" customFormat="1" x14ac:dyDescent="0.25">
      <c r="A16" s="16">
        <v>44403</v>
      </c>
      <c r="B16" s="71" t="s">
        <v>132</v>
      </c>
      <c r="C16" s="72">
        <v>15</v>
      </c>
      <c r="D16" s="71">
        <v>60</v>
      </c>
      <c r="E16" s="73">
        <v>4</v>
      </c>
      <c r="F16" s="73">
        <v>22</v>
      </c>
      <c r="G16" s="71">
        <f t="shared" si="2"/>
        <v>262</v>
      </c>
      <c r="H16" s="74">
        <f t="shared" si="3"/>
        <v>13.740458015267174</v>
      </c>
      <c r="I16" s="74">
        <v>396</v>
      </c>
      <c r="J16" s="71" t="s">
        <v>131</v>
      </c>
      <c r="K16" s="3"/>
      <c r="L16" s="3"/>
    </row>
    <row r="17" spans="1:12" s="56" customFormat="1" x14ac:dyDescent="0.25">
      <c r="A17" s="16">
        <v>44404</v>
      </c>
      <c r="B17" s="71" t="s">
        <v>133</v>
      </c>
      <c r="C17" s="72">
        <v>16</v>
      </c>
      <c r="D17" s="71">
        <v>62</v>
      </c>
      <c r="E17" s="73">
        <v>4</v>
      </c>
      <c r="F17" s="73">
        <v>16</v>
      </c>
      <c r="G17" s="71">
        <f t="shared" si="2"/>
        <v>256</v>
      </c>
      <c r="H17" s="74">
        <f t="shared" si="3"/>
        <v>14.53125</v>
      </c>
      <c r="I17" s="74">
        <v>443</v>
      </c>
      <c r="J17" s="71" t="s">
        <v>131</v>
      </c>
      <c r="K17" s="3"/>
      <c r="L17" s="3"/>
    </row>
    <row r="18" spans="1:12" x14ac:dyDescent="0.25">
      <c r="A18" s="16">
        <v>44405</v>
      </c>
      <c r="B18" s="71" t="s">
        <v>134</v>
      </c>
      <c r="C18" s="72">
        <v>17</v>
      </c>
      <c r="D18" s="71">
        <v>56</v>
      </c>
      <c r="E18" s="73">
        <v>3</v>
      </c>
      <c r="F18" s="73">
        <v>46</v>
      </c>
      <c r="G18" s="71">
        <f t="shared" si="2"/>
        <v>226</v>
      </c>
      <c r="H18" s="74">
        <f t="shared" si="3"/>
        <v>14.867256637168142</v>
      </c>
      <c r="I18" s="74">
        <v>245</v>
      </c>
      <c r="J18" s="71" t="s">
        <v>131</v>
      </c>
      <c r="K18" s="3"/>
      <c r="L18" s="3"/>
    </row>
    <row r="19" spans="1:12" x14ac:dyDescent="0.25">
      <c r="A19" s="16">
        <v>44406</v>
      </c>
      <c r="B19" s="71" t="s">
        <v>135</v>
      </c>
      <c r="C19" s="72">
        <v>18</v>
      </c>
      <c r="D19" s="71">
        <v>71</v>
      </c>
      <c r="E19" s="73">
        <v>4</v>
      </c>
      <c r="F19" s="73">
        <v>18</v>
      </c>
      <c r="G19" s="71">
        <f t="shared" si="2"/>
        <v>258</v>
      </c>
      <c r="H19" s="74">
        <f t="shared" si="3"/>
        <v>16.511627906976745</v>
      </c>
      <c r="I19" s="74">
        <v>105</v>
      </c>
      <c r="J19" s="71" t="s">
        <v>131</v>
      </c>
      <c r="K19" s="3"/>
      <c r="L19" s="3"/>
    </row>
    <row r="20" spans="1:12" x14ac:dyDescent="0.25">
      <c r="A20" s="16">
        <v>44408</v>
      </c>
      <c r="B20" s="15" t="s">
        <v>136</v>
      </c>
      <c r="C20" s="17">
        <v>19</v>
      </c>
      <c r="D20" s="15">
        <v>78</v>
      </c>
      <c r="E20" s="18">
        <v>3</v>
      </c>
      <c r="F20" s="18">
        <v>23</v>
      </c>
      <c r="G20" s="15">
        <f t="shared" si="2"/>
        <v>203</v>
      </c>
      <c r="H20" s="19">
        <f t="shared" si="3"/>
        <v>23.054187192118224</v>
      </c>
      <c r="I20" s="4">
        <v>305</v>
      </c>
      <c r="J20" s="15"/>
      <c r="K20" s="3"/>
      <c r="L20" s="3">
        <v>78</v>
      </c>
    </row>
    <row r="21" spans="1:12" x14ac:dyDescent="0.25">
      <c r="A21" s="16">
        <v>44408</v>
      </c>
      <c r="B21" s="15" t="s">
        <v>62</v>
      </c>
      <c r="C21" s="17">
        <v>20</v>
      </c>
      <c r="D21" s="15">
        <v>36</v>
      </c>
      <c r="E21" s="18">
        <v>1</v>
      </c>
      <c r="F21" s="18">
        <v>55</v>
      </c>
      <c r="G21" s="15">
        <f t="shared" si="2"/>
        <v>115</v>
      </c>
      <c r="H21" s="19">
        <f t="shared" si="3"/>
        <v>18.782608695652176</v>
      </c>
      <c r="I21" s="4">
        <v>78</v>
      </c>
      <c r="J21" s="15"/>
      <c r="K21" s="3"/>
      <c r="L21" s="3">
        <v>36</v>
      </c>
    </row>
    <row r="22" spans="1:12" x14ac:dyDescent="0.25">
      <c r="A22" s="5"/>
      <c r="B22" s="3"/>
      <c r="C22" s="8">
        <v>21</v>
      </c>
      <c r="D22" s="15"/>
      <c r="E22" s="6"/>
      <c r="F22" s="6"/>
      <c r="G22" s="3">
        <f t="shared" si="2"/>
        <v>0</v>
      </c>
      <c r="H22" s="4" t="e">
        <f t="shared" si="3"/>
        <v>#DIV/0!</v>
      </c>
      <c r="I22" s="4"/>
      <c r="J22" s="15"/>
      <c r="K22" s="3"/>
      <c r="L22" s="3"/>
    </row>
    <row r="23" spans="1:12" x14ac:dyDescent="0.25">
      <c r="A23" s="5"/>
      <c r="B23" s="3"/>
      <c r="C23" s="8">
        <v>22</v>
      </c>
      <c r="D23" s="15"/>
      <c r="E23" s="6"/>
      <c r="F23" s="6"/>
      <c r="G23" s="3">
        <f t="shared" si="2"/>
        <v>0</v>
      </c>
      <c r="H23" s="4" t="e">
        <f t="shared" si="3"/>
        <v>#DIV/0!</v>
      </c>
      <c r="I23" s="4"/>
      <c r="J23" s="15"/>
      <c r="K23" s="3"/>
      <c r="L23" s="3"/>
    </row>
    <row r="24" spans="1:12" x14ac:dyDescent="0.25">
      <c r="A24" s="5"/>
      <c r="B24" s="3"/>
      <c r="C24" s="8">
        <v>23</v>
      </c>
      <c r="D24" s="15"/>
      <c r="E24" s="6"/>
      <c r="F24" s="6"/>
      <c r="G24" s="3">
        <f t="shared" si="2"/>
        <v>0</v>
      </c>
      <c r="H24" s="4" t="e">
        <f t="shared" si="3"/>
        <v>#DIV/0!</v>
      </c>
      <c r="I24" s="4"/>
      <c r="J24" s="15"/>
      <c r="K24" s="76"/>
      <c r="L24" s="76"/>
    </row>
    <row r="25" spans="1:12" x14ac:dyDescent="0.25">
      <c r="A25" s="5"/>
      <c r="B25" s="3"/>
      <c r="C25" s="3">
        <v>24</v>
      </c>
      <c r="D25" s="3"/>
      <c r="E25" s="6"/>
      <c r="F25" s="6"/>
      <c r="G25" s="3">
        <f t="shared" si="0"/>
        <v>0</v>
      </c>
      <c r="H25" s="4" t="e">
        <f t="shared" si="1"/>
        <v>#DIV/0!</v>
      </c>
      <c r="I25" s="4"/>
      <c r="J25" s="63"/>
      <c r="K25" s="3"/>
      <c r="L25" s="77"/>
    </row>
    <row r="26" spans="1:12" x14ac:dyDescent="0.25">
      <c r="D26">
        <f>SUM(D3:D25)</f>
        <v>1139</v>
      </c>
      <c r="I26" s="2">
        <f>SUM(I3:I25)</f>
        <v>6034</v>
      </c>
      <c r="K26" s="34"/>
      <c r="L26" s="34"/>
    </row>
    <row r="27" spans="1:12" x14ac:dyDescent="0.25">
      <c r="B27">
        <f>SUM(Juin!B30+Juil!D26)</f>
        <v>7926</v>
      </c>
      <c r="H27" s="2">
        <f>SUM(Juin!H30+Juil!I26)</f>
        <v>41391</v>
      </c>
      <c r="K27" s="34"/>
      <c r="L27" s="34"/>
    </row>
    <row r="28" spans="1:12" x14ac:dyDescent="0.25">
      <c r="B28" s="3"/>
      <c r="D28" s="23"/>
      <c r="E28" s="27"/>
      <c r="F28" s="23"/>
      <c r="G28" s="23"/>
      <c r="K28" s="34"/>
      <c r="L28" s="34"/>
    </row>
    <row r="29" spans="1:12" x14ac:dyDescent="0.25">
      <c r="K29">
        <f>SUM(K3:K28)</f>
        <v>436</v>
      </c>
      <c r="L29">
        <f>SUM(L3:L28)</f>
        <v>401</v>
      </c>
    </row>
    <row r="30" spans="1:12" x14ac:dyDescent="0.25">
      <c r="K30">
        <f>SUM(Juin!K30+Juil!K29)</f>
        <v>1128.5</v>
      </c>
      <c r="L30">
        <f>SUM(Juin!L30+Juil!L29)</f>
        <v>5817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0"/>
  <sheetViews>
    <sheetView zoomScaleNormal="100" workbookViewId="0">
      <selection activeCell="K30" sqref="K30"/>
    </sheetView>
  </sheetViews>
  <sheetFormatPr baseColWidth="10" defaultRowHeight="15" x14ac:dyDescent="0.2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  <col min="11" max="11" width="8.42578125" customWidth="1"/>
    <col min="12" max="12" width="6.85546875" customWidth="1"/>
  </cols>
  <sheetData>
    <row r="1" spans="1:12" ht="27" thickBot="1" x14ac:dyDescent="0.45">
      <c r="A1" s="81" t="s">
        <v>14</v>
      </c>
      <c r="B1" s="81"/>
      <c r="C1" s="81"/>
      <c r="D1" s="81"/>
      <c r="E1" s="81"/>
      <c r="F1" s="81"/>
      <c r="G1" s="81"/>
      <c r="H1" s="26">
        <f>SUM(Janv!H1)</f>
        <v>2021</v>
      </c>
      <c r="I1" s="26"/>
      <c r="J1" s="26"/>
    </row>
    <row r="2" spans="1:12" ht="19.5" thickBot="1" x14ac:dyDescent="0.35">
      <c r="A2" s="11" t="s">
        <v>0</v>
      </c>
      <c r="B2" s="12" t="s">
        <v>1</v>
      </c>
      <c r="C2" s="12" t="s">
        <v>6</v>
      </c>
      <c r="D2" s="12" t="s">
        <v>2</v>
      </c>
      <c r="E2" s="80" t="s">
        <v>3</v>
      </c>
      <c r="F2" s="80"/>
      <c r="G2" s="80"/>
      <c r="H2" s="13" t="s">
        <v>4</v>
      </c>
      <c r="I2" s="31" t="s">
        <v>19</v>
      </c>
      <c r="J2" s="14" t="s">
        <v>5</v>
      </c>
      <c r="K2" s="64" t="s">
        <v>21</v>
      </c>
      <c r="L2" s="65" t="s">
        <v>22</v>
      </c>
    </row>
    <row r="3" spans="1:12" x14ac:dyDescent="0.25">
      <c r="A3" s="20">
        <v>44411</v>
      </c>
      <c r="B3" s="17" t="s">
        <v>137</v>
      </c>
      <c r="C3" s="17">
        <v>1</v>
      </c>
      <c r="D3" s="17">
        <v>81</v>
      </c>
      <c r="E3" s="21">
        <v>3</v>
      </c>
      <c r="F3" s="21">
        <v>32</v>
      </c>
      <c r="G3" s="3">
        <f t="shared" ref="G3:G22" si="0">SUM(E3*60+F3)</f>
        <v>212</v>
      </c>
      <c r="H3" s="22">
        <f>SUM(D3/G3*60)</f>
        <v>22.924528301886795</v>
      </c>
      <c r="I3" s="10">
        <v>330</v>
      </c>
      <c r="J3" s="17"/>
      <c r="K3" s="8"/>
      <c r="L3" s="8">
        <v>81</v>
      </c>
    </row>
    <row r="4" spans="1:12" x14ac:dyDescent="0.25">
      <c r="A4" s="16">
        <v>44413</v>
      </c>
      <c r="B4" s="15" t="s">
        <v>138</v>
      </c>
      <c r="C4" s="17">
        <v>2</v>
      </c>
      <c r="D4" s="15">
        <v>87</v>
      </c>
      <c r="E4" s="18">
        <v>3</v>
      </c>
      <c r="F4" s="18">
        <v>50</v>
      </c>
      <c r="G4" s="3">
        <f t="shared" si="0"/>
        <v>230</v>
      </c>
      <c r="H4" s="19">
        <f t="shared" ref="H4:H23" si="1">SUM(D4/G4*60)</f>
        <v>22.695652173913043</v>
      </c>
      <c r="I4" s="10">
        <v>315</v>
      </c>
      <c r="J4" s="17"/>
      <c r="K4" s="3"/>
      <c r="L4" s="3">
        <v>87</v>
      </c>
    </row>
    <row r="5" spans="1:12" x14ac:dyDescent="0.25">
      <c r="A5" s="16">
        <v>44415</v>
      </c>
      <c r="B5" s="15" t="s">
        <v>139</v>
      </c>
      <c r="C5" s="17">
        <v>3</v>
      </c>
      <c r="D5" s="15">
        <v>43</v>
      </c>
      <c r="E5" s="18">
        <v>1</v>
      </c>
      <c r="F5" s="18">
        <v>40</v>
      </c>
      <c r="G5" s="3">
        <f t="shared" si="0"/>
        <v>100</v>
      </c>
      <c r="H5" s="19">
        <f t="shared" si="1"/>
        <v>25.8</v>
      </c>
      <c r="I5" s="19">
        <v>209</v>
      </c>
      <c r="J5" s="17"/>
      <c r="K5" s="3"/>
      <c r="L5" s="3">
        <v>43</v>
      </c>
    </row>
    <row r="6" spans="1:12" x14ac:dyDescent="0.25">
      <c r="A6" s="16">
        <v>44418</v>
      </c>
      <c r="B6" s="15" t="s">
        <v>140</v>
      </c>
      <c r="C6" s="17">
        <v>4</v>
      </c>
      <c r="D6" s="15">
        <v>75</v>
      </c>
      <c r="E6" s="18">
        <v>3</v>
      </c>
      <c r="F6" s="18">
        <v>25</v>
      </c>
      <c r="G6" s="3">
        <f t="shared" si="0"/>
        <v>205</v>
      </c>
      <c r="H6" s="19">
        <f t="shared" si="1"/>
        <v>21.95121951219512</v>
      </c>
      <c r="I6" s="19">
        <v>291</v>
      </c>
      <c r="J6" s="17"/>
      <c r="K6" s="3"/>
      <c r="L6" s="3">
        <v>75</v>
      </c>
    </row>
    <row r="7" spans="1:12" x14ac:dyDescent="0.25">
      <c r="A7" s="16">
        <v>44420</v>
      </c>
      <c r="B7" s="15" t="s">
        <v>141</v>
      </c>
      <c r="C7" s="17">
        <v>5</v>
      </c>
      <c r="D7" s="15">
        <v>79</v>
      </c>
      <c r="E7" s="18">
        <v>3</v>
      </c>
      <c r="F7" s="18">
        <v>27</v>
      </c>
      <c r="G7" s="3">
        <f t="shared" si="0"/>
        <v>207</v>
      </c>
      <c r="H7" s="19">
        <f t="shared" si="1"/>
        <v>22.89855072463768</v>
      </c>
      <c r="I7" s="19">
        <v>309</v>
      </c>
      <c r="J7" s="17"/>
      <c r="K7" s="3"/>
      <c r="L7" s="3">
        <v>79</v>
      </c>
    </row>
    <row r="8" spans="1:12" x14ac:dyDescent="0.25">
      <c r="A8" s="16">
        <v>44425</v>
      </c>
      <c r="B8" s="15" t="s">
        <v>142</v>
      </c>
      <c r="C8" s="17">
        <v>3</v>
      </c>
      <c r="D8" s="15">
        <v>84</v>
      </c>
      <c r="E8" s="18">
        <v>3</v>
      </c>
      <c r="F8" s="18">
        <v>35</v>
      </c>
      <c r="G8" s="3">
        <f t="shared" si="0"/>
        <v>215</v>
      </c>
      <c r="H8" s="19">
        <f t="shared" si="1"/>
        <v>23.441860465116278</v>
      </c>
      <c r="I8" s="19">
        <v>311</v>
      </c>
      <c r="J8" s="17"/>
      <c r="K8" s="3"/>
      <c r="L8" s="3">
        <v>84</v>
      </c>
    </row>
    <row r="9" spans="1:12" x14ac:dyDescent="0.25">
      <c r="A9" s="16">
        <v>44427</v>
      </c>
      <c r="B9" s="15" t="s">
        <v>143</v>
      </c>
      <c r="C9" s="17">
        <v>7</v>
      </c>
      <c r="D9" s="15">
        <v>141</v>
      </c>
      <c r="E9" s="18">
        <v>6</v>
      </c>
      <c r="F9" s="18">
        <v>18</v>
      </c>
      <c r="G9" s="3">
        <f t="shared" si="0"/>
        <v>378</v>
      </c>
      <c r="H9" s="19">
        <f t="shared" si="1"/>
        <v>22.38095238095238</v>
      </c>
      <c r="I9" s="19">
        <v>429</v>
      </c>
      <c r="J9" s="17"/>
      <c r="K9" s="6"/>
      <c r="L9" s="3">
        <v>141</v>
      </c>
    </row>
    <row r="10" spans="1:12" s="47" customFormat="1" x14ac:dyDescent="0.25">
      <c r="A10" s="40">
        <v>44429</v>
      </c>
      <c r="B10" s="57" t="s">
        <v>144</v>
      </c>
      <c r="C10" s="41">
        <v>8</v>
      </c>
      <c r="D10" s="42">
        <v>84</v>
      </c>
      <c r="E10" s="43">
        <v>3</v>
      </c>
      <c r="F10" s="43">
        <v>45</v>
      </c>
      <c r="G10" s="44">
        <f t="shared" si="0"/>
        <v>225</v>
      </c>
      <c r="H10" s="45">
        <f t="shared" si="1"/>
        <v>22.400000000000002</v>
      </c>
      <c r="I10" s="46">
        <v>360</v>
      </c>
      <c r="J10" s="41"/>
      <c r="K10" s="3"/>
      <c r="L10" s="3">
        <v>84</v>
      </c>
    </row>
    <row r="11" spans="1:12" s="47" customFormat="1" x14ac:dyDescent="0.25">
      <c r="A11" s="40">
        <v>44429</v>
      </c>
      <c r="B11" s="57" t="s">
        <v>145</v>
      </c>
      <c r="C11" s="41">
        <v>9</v>
      </c>
      <c r="D11" s="42">
        <v>42</v>
      </c>
      <c r="E11" s="43">
        <v>2</v>
      </c>
      <c r="F11" s="43">
        <v>11</v>
      </c>
      <c r="G11" s="44">
        <f t="shared" si="0"/>
        <v>131</v>
      </c>
      <c r="H11" s="45">
        <f t="shared" si="1"/>
        <v>19.236641221374043</v>
      </c>
      <c r="I11" s="48">
        <v>100</v>
      </c>
      <c r="J11" s="41"/>
      <c r="K11" s="3"/>
      <c r="L11" s="3">
        <v>42</v>
      </c>
    </row>
    <row r="12" spans="1:12" x14ac:dyDescent="0.25">
      <c r="A12" s="16">
        <v>44432</v>
      </c>
      <c r="B12" s="15" t="s">
        <v>146</v>
      </c>
      <c r="C12" s="17">
        <v>9</v>
      </c>
      <c r="D12" s="15">
        <v>88</v>
      </c>
      <c r="E12" s="18">
        <v>3</v>
      </c>
      <c r="F12" s="18">
        <v>46</v>
      </c>
      <c r="G12" s="3">
        <f t="shared" ref="G12" si="2">SUM(E12*60+F12)</f>
        <v>226</v>
      </c>
      <c r="H12" s="19">
        <f t="shared" ref="H12" si="3">SUM(D12/G12*60)</f>
        <v>23.36283185840708</v>
      </c>
      <c r="I12" s="4">
        <v>283</v>
      </c>
      <c r="J12" s="17"/>
      <c r="K12" s="3"/>
      <c r="L12" s="3">
        <v>88</v>
      </c>
    </row>
    <row r="13" spans="1:12" x14ac:dyDescent="0.25">
      <c r="A13" s="16">
        <v>44434</v>
      </c>
      <c r="B13" s="15" t="s">
        <v>147</v>
      </c>
      <c r="C13" s="17">
        <v>11</v>
      </c>
      <c r="D13" s="15">
        <v>87</v>
      </c>
      <c r="E13" s="18">
        <v>3</v>
      </c>
      <c r="F13" s="18">
        <v>45</v>
      </c>
      <c r="G13" s="3">
        <f t="shared" si="0"/>
        <v>225</v>
      </c>
      <c r="H13" s="19">
        <f t="shared" si="1"/>
        <v>23.2</v>
      </c>
      <c r="I13" s="4">
        <v>388</v>
      </c>
      <c r="J13" s="17"/>
      <c r="K13" s="3"/>
      <c r="L13" s="3">
        <v>87</v>
      </c>
    </row>
    <row r="14" spans="1:12" x14ac:dyDescent="0.25">
      <c r="A14" s="16">
        <v>44439</v>
      </c>
      <c r="B14" s="15" t="s">
        <v>148</v>
      </c>
      <c r="C14" s="17">
        <v>12</v>
      </c>
      <c r="D14" s="15">
        <v>82</v>
      </c>
      <c r="E14" s="18">
        <v>3</v>
      </c>
      <c r="F14" s="18">
        <v>16</v>
      </c>
      <c r="G14" s="3">
        <f t="shared" si="0"/>
        <v>196</v>
      </c>
      <c r="H14" s="19">
        <f t="shared" si="1"/>
        <v>25.102040816326532</v>
      </c>
      <c r="I14" s="4">
        <v>257</v>
      </c>
      <c r="J14" s="15"/>
      <c r="K14" s="3">
        <v>82</v>
      </c>
      <c r="L14" s="3"/>
    </row>
    <row r="15" spans="1:12" x14ac:dyDescent="0.25">
      <c r="A15" s="16"/>
      <c r="B15" s="15"/>
      <c r="C15" s="17">
        <v>13</v>
      </c>
      <c r="D15" s="15"/>
      <c r="E15" s="18"/>
      <c r="F15" s="18"/>
      <c r="G15" s="3">
        <f t="shared" si="0"/>
        <v>0</v>
      </c>
      <c r="H15" s="19" t="e">
        <f t="shared" si="1"/>
        <v>#DIV/0!</v>
      </c>
      <c r="I15" s="4"/>
      <c r="J15" s="15"/>
      <c r="K15" s="3"/>
      <c r="L15" s="3"/>
    </row>
    <row r="16" spans="1:12" x14ac:dyDescent="0.25">
      <c r="A16" s="16"/>
      <c r="B16" s="15"/>
      <c r="C16" s="17">
        <v>14</v>
      </c>
      <c r="D16" s="15"/>
      <c r="E16" s="18"/>
      <c r="F16" s="18"/>
      <c r="G16" s="3">
        <f t="shared" si="0"/>
        <v>0</v>
      </c>
      <c r="H16" s="19" t="e">
        <f t="shared" si="1"/>
        <v>#DIV/0!</v>
      </c>
      <c r="I16" s="4"/>
      <c r="J16" s="15"/>
      <c r="K16" s="3"/>
      <c r="L16" s="3"/>
    </row>
    <row r="17" spans="1:13" x14ac:dyDescent="0.25">
      <c r="A17" s="16"/>
      <c r="B17" s="15"/>
      <c r="C17" s="17">
        <v>15</v>
      </c>
      <c r="D17" s="15"/>
      <c r="E17" s="18"/>
      <c r="F17" s="18"/>
      <c r="G17" s="3">
        <f t="shared" si="0"/>
        <v>0</v>
      </c>
      <c r="H17" s="19" t="e">
        <f t="shared" si="1"/>
        <v>#DIV/0!</v>
      </c>
      <c r="I17" s="4"/>
      <c r="J17" s="15"/>
      <c r="K17" s="3"/>
      <c r="L17" s="3"/>
    </row>
    <row r="18" spans="1:13" x14ac:dyDescent="0.25">
      <c r="A18" s="16"/>
      <c r="B18" s="15"/>
      <c r="C18" s="17">
        <v>16</v>
      </c>
      <c r="D18" s="15"/>
      <c r="E18" s="18"/>
      <c r="F18" s="18"/>
      <c r="G18" s="3">
        <f t="shared" si="0"/>
        <v>0</v>
      </c>
      <c r="H18" s="19" t="e">
        <f t="shared" si="1"/>
        <v>#DIV/0!</v>
      </c>
      <c r="I18" s="4"/>
      <c r="J18" s="15"/>
      <c r="K18" s="3"/>
      <c r="L18" s="3"/>
    </row>
    <row r="19" spans="1:13" x14ac:dyDescent="0.25">
      <c r="A19" s="5"/>
      <c r="B19" s="3"/>
      <c r="C19" s="17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  <c r="K19" s="3"/>
      <c r="L19" s="3"/>
    </row>
    <row r="20" spans="1:13" x14ac:dyDescent="0.25">
      <c r="A20" s="5"/>
      <c r="B20" s="3"/>
      <c r="C20" s="17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  <c r="K20" s="3"/>
      <c r="L20" s="3"/>
    </row>
    <row r="21" spans="1:13" x14ac:dyDescent="0.25">
      <c r="A21" s="5"/>
      <c r="B21" s="32"/>
      <c r="C21" s="17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  <c r="K21" s="3"/>
      <c r="L21" s="3"/>
    </row>
    <row r="22" spans="1:13" x14ac:dyDescent="0.25">
      <c r="A22" s="5"/>
      <c r="B22" s="38"/>
      <c r="C22" s="17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  <c r="K22" s="3"/>
      <c r="L22" s="3"/>
    </row>
    <row r="23" spans="1:13" x14ac:dyDescent="0.25">
      <c r="A23" s="5"/>
      <c r="B23" s="3"/>
      <c r="C23" s="15">
        <v>21</v>
      </c>
      <c r="D23" s="3"/>
      <c r="E23" s="6"/>
      <c r="F23" s="6"/>
      <c r="G23" s="3">
        <f t="shared" ref="G23" si="4">SUM(E23*60+F23)</f>
        <v>0</v>
      </c>
      <c r="H23" s="4" t="e">
        <f t="shared" si="1"/>
        <v>#DIV/0!</v>
      </c>
      <c r="I23" s="4"/>
      <c r="J23" s="3"/>
      <c r="K23" s="3"/>
      <c r="L23" s="3"/>
    </row>
    <row r="24" spans="1:13" x14ac:dyDescent="0.25">
      <c r="A24" s="33"/>
      <c r="B24" s="34"/>
      <c r="C24" s="34"/>
      <c r="D24" s="34"/>
      <c r="E24" s="35"/>
      <c r="F24" s="35"/>
      <c r="G24" s="34"/>
      <c r="H24" s="36"/>
      <c r="I24" s="2">
        <f>SUM(I3:I23)</f>
        <v>3582</v>
      </c>
      <c r="J24" s="34"/>
      <c r="K24" s="34"/>
      <c r="L24" s="34"/>
    </row>
    <row r="25" spans="1:13" x14ac:dyDescent="0.25">
      <c r="D25">
        <f>SUM(D3:D24)</f>
        <v>973</v>
      </c>
      <c r="H25" s="2">
        <f>SUM(Juil!H27+Aout!I24)</f>
        <v>44973</v>
      </c>
      <c r="K25" s="34"/>
      <c r="L25" s="34"/>
    </row>
    <row r="26" spans="1:13" x14ac:dyDescent="0.25">
      <c r="B26">
        <f>SUM(Juil!B27+Aout!D25)</f>
        <v>8899</v>
      </c>
      <c r="K26" s="34"/>
      <c r="L26" s="34"/>
    </row>
    <row r="27" spans="1:13" x14ac:dyDescent="0.25">
      <c r="K27" s="34"/>
      <c r="L27" s="34"/>
      <c r="M27" s="78"/>
    </row>
    <row r="28" spans="1:13" x14ac:dyDescent="0.25">
      <c r="K28" s="34"/>
      <c r="L28" s="34"/>
    </row>
    <row r="29" spans="1:13" x14ac:dyDescent="0.25">
      <c r="K29">
        <f>SUM(K3:K28)</f>
        <v>82</v>
      </c>
      <c r="L29">
        <f>SUM(L3:L28)</f>
        <v>891</v>
      </c>
    </row>
    <row r="30" spans="1:13" x14ac:dyDescent="0.25">
      <c r="K30">
        <f>SUM(Juil!K30+Aout!K29)</f>
        <v>1210.5</v>
      </c>
      <c r="L30">
        <f>SUM(Juil!L30+Aout!L29)</f>
        <v>6708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0"/>
  <sheetViews>
    <sheetView workbookViewId="0">
      <selection activeCell="B28" sqref="B28"/>
    </sheetView>
  </sheetViews>
  <sheetFormatPr baseColWidth="10" defaultRowHeight="15" x14ac:dyDescent="0.2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  <col min="11" max="11" width="8.42578125" customWidth="1"/>
    <col min="12" max="12" width="6.85546875" customWidth="1"/>
  </cols>
  <sheetData>
    <row r="1" spans="1:12" ht="27" thickBot="1" x14ac:dyDescent="0.45">
      <c r="A1" s="81" t="s">
        <v>15</v>
      </c>
      <c r="B1" s="81"/>
      <c r="C1" s="81"/>
      <c r="D1" s="81"/>
      <c r="E1" s="81"/>
      <c r="F1" s="81"/>
      <c r="G1" s="81"/>
      <c r="H1" s="26">
        <f>SUM(Janv!H1)</f>
        <v>2021</v>
      </c>
      <c r="I1" s="26"/>
      <c r="J1" s="26"/>
    </row>
    <row r="2" spans="1:12" ht="19.5" thickBot="1" x14ac:dyDescent="0.35">
      <c r="A2" s="11" t="s">
        <v>0</v>
      </c>
      <c r="B2" s="24" t="s">
        <v>1</v>
      </c>
      <c r="C2" s="12" t="s">
        <v>6</v>
      </c>
      <c r="D2" s="12" t="s">
        <v>2</v>
      </c>
      <c r="E2" s="80" t="s">
        <v>3</v>
      </c>
      <c r="F2" s="80"/>
      <c r="G2" s="80"/>
      <c r="H2" s="13" t="s">
        <v>4</v>
      </c>
      <c r="I2" s="31" t="s">
        <v>19</v>
      </c>
      <c r="J2" s="14" t="s">
        <v>5</v>
      </c>
      <c r="K2" s="64" t="s">
        <v>21</v>
      </c>
      <c r="L2" s="65" t="s">
        <v>22</v>
      </c>
    </row>
    <row r="3" spans="1:12" x14ac:dyDescent="0.25">
      <c r="A3" s="20">
        <v>44441</v>
      </c>
      <c r="B3" s="15" t="s">
        <v>149</v>
      </c>
      <c r="C3" s="17">
        <v>1</v>
      </c>
      <c r="D3" s="17">
        <v>94</v>
      </c>
      <c r="E3" s="21">
        <v>3</v>
      </c>
      <c r="F3" s="21">
        <v>42</v>
      </c>
      <c r="G3" s="17">
        <f>SUM(E3*60+F3)</f>
        <v>222</v>
      </c>
      <c r="H3" s="22">
        <f>SUM(D3/G3*60)</f>
        <v>25.405405405405407</v>
      </c>
      <c r="I3" s="10">
        <v>315</v>
      </c>
      <c r="J3" s="15"/>
      <c r="K3" s="8">
        <v>94</v>
      </c>
      <c r="L3" s="8"/>
    </row>
    <row r="4" spans="1:12" x14ac:dyDescent="0.25">
      <c r="A4" s="16">
        <v>44443</v>
      </c>
      <c r="B4" s="15" t="s">
        <v>150</v>
      </c>
      <c r="C4" s="17">
        <v>2</v>
      </c>
      <c r="D4" s="15">
        <v>81</v>
      </c>
      <c r="E4" s="18">
        <v>3</v>
      </c>
      <c r="F4" s="18">
        <v>20</v>
      </c>
      <c r="G4" s="15">
        <f t="shared" ref="G4:G23" si="0">SUM(E4*60+F4)</f>
        <v>200</v>
      </c>
      <c r="H4" s="19">
        <f t="shared" ref="H4:H23" si="1">SUM(D4/G4*60)</f>
        <v>24.3</v>
      </c>
      <c r="I4" s="10">
        <v>366</v>
      </c>
      <c r="J4" s="15"/>
      <c r="K4" s="3"/>
      <c r="L4" s="3">
        <v>81</v>
      </c>
    </row>
    <row r="5" spans="1:12" x14ac:dyDescent="0.25">
      <c r="A5" s="16">
        <v>44443</v>
      </c>
      <c r="B5" s="58" t="s">
        <v>84</v>
      </c>
      <c r="C5" s="17">
        <v>3</v>
      </c>
      <c r="D5" s="15">
        <v>28</v>
      </c>
      <c r="E5" s="18">
        <v>1</v>
      </c>
      <c r="F5" s="18">
        <v>51</v>
      </c>
      <c r="G5" s="15">
        <f t="shared" si="0"/>
        <v>111</v>
      </c>
      <c r="H5" s="19">
        <f t="shared" si="1"/>
        <v>15.135135135135133</v>
      </c>
      <c r="I5" s="19">
        <v>69</v>
      </c>
      <c r="J5" s="15"/>
      <c r="K5" s="3">
        <v>28</v>
      </c>
      <c r="L5" s="3"/>
    </row>
    <row r="6" spans="1:12" x14ac:dyDescent="0.25">
      <c r="A6" s="16">
        <v>44445</v>
      </c>
      <c r="B6" s="58" t="s">
        <v>151</v>
      </c>
      <c r="C6" s="17">
        <v>2</v>
      </c>
      <c r="D6" s="15">
        <v>37</v>
      </c>
      <c r="E6" s="18">
        <v>1</v>
      </c>
      <c r="F6" s="18">
        <v>52</v>
      </c>
      <c r="G6" s="15">
        <f t="shared" ref="G6" si="2">SUM(E6*60+F6)</f>
        <v>112</v>
      </c>
      <c r="H6" s="19">
        <f t="shared" ref="H6" si="3">SUM(D6/G6*60)</f>
        <v>19.821428571428569</v>
      </c>
      <c r="I6" s="19">
        <v>178</v>
      </c>
      <c r="J6" s="15"/>
      <c r="K6" s="3">
        <v>37</v>
      </c>
      <c r="L6" s="3"/>
    </row>
    <row r="7" spans="1:12" x14ac:dyDescent="0.25">
      <c r="A7" s="16">
        <v>44446</v>
      </c>
      <c r="B7" s="58" t="s">
        <v>152</v>
      </c>
      <c r="C7" s="17">
        <v>5</v>
      </c>
      <c r="D7" s="15">
        <v>36</v>
      </c>
      <c r="E7" s="18">
        <v>2</v>
      </c>
      <c r="F7" s="18">
        <v>15</v>
      </c>
      <c r="G7" s="15">
        <f t="shared" si="0"/>
        <v>135</v>
      </c>
      <c r="H7" s="19">
        <f t="shared" si="1"/>
        <v>16</v>
      </c>
      <c r="I7" s="19">
        <v>392</v>
      </c>
      <c r="J7" s="15"/>
      <c r="K7" s="3">
        <v>36</v>
      </c>
      <c r="L7" s="3"/>
    </row>
    <row r="8" spans="1:12" x14ac:dyDescent="0.25">
      <c r="A8" s="16">
        <v>44451</v>
      </c>
      <c r="B8" s="58" t="s">
        <v>153</v>
      </c>
      <c r="C8" s="17">
        <v>6</v>
      </c>
      <c r="D8" s="15">
        <v>18</v>
      </c>
      <c r="E8" s="18">
        <v>1</v>
      </c>
      <c r="F8" s="18">
        <v>12</v>
      </c>
      <c r="G8" s="15">
        <f t="shared" si="0"/>
        <v>72</v>
      </c>
      <c r="H8" s="19">
        <f t="shared" si="1"/>
        <v>15</v>
      </c>
      <c r="I8" s="19">
        <v>287</v>
      </c>
      <c r="J8" s="15"/>
      <c r="K8" s="3">
        <v>18</v>
      </c>
      <c r="L8" s="3"/>
    </row>
    <row r="9" spans="1:12" x14ac:dyDescent="0.25">
      <c r="A9" s="16">
        <v>44452</v>
      </c>
      <c r="B9" s="58" t="s">
        <v>154</v>
      </c>
      <c r="C9" s="17">
        <v>7</v>
      </c>
      <c r="D9" s="15">
        <v>56</v>
      </c>
      <c r="E9" s="18">
        <v>2</v>
      </c>
      <c r="F9" s="18">
        <v>48</v>
      </c>
      <c r="G9" s="15">
        <f t="shared" si="0"/>
        <v>168</v>
      </c>
      <c r="H9" s="19">
        <f t="shared" si="1"/>
        <v>20</v>
      </c>
      <c r="I9" s="19">
        <v>1406</v>
      </c>
      <c r="J9" s="15"/>
      <c r="K9" s="6">
        <v>56</v>
      </c>
      <c r="L9" s="3"/>
    </row>
    <row r="10" spans="1:12" x14ac:dyDescent="0.25">
      <c r="A10" s="16">
        <v>44456</v>
      </c>
      <c r="B10" s="58" t="s">
        <v>151</v>
      </c>
      <c r="C10" s="17">
        <v>8</v>
      </c>
      <c r="D10" s="15">
        <v>43</v>
      </c>
      <c r="E10" s="18">
        <v>2</v>
      </c>
      <c r="F10" s="18">
        <v>13</v>
      </c>
      <c r="G10" s="15">
        <f t="shared" si="0"/>
        <v>133</v>
      </c>
      <c r="H10" s="19">
        <f t="shared" si="1"/>
        <v>19.398496240601503</v>
      </c>
      <c r="I10" s="10">
        <v>189</v>
      </c>
      <c r="J10" s="15"/>
      <c r="K10" s="3">
        <v>43</v>
      </c>
      <c r="L10" s="3"/>
    </row>
    <row r="11" spans="1:12" x14ac:dyDescent="0.25">
      <c r="A11" s="16">
        <v>44457</v>
      </c>
      <c r="B11" s="58" t="s">
        <v>155</v>
      </c>
      <c r="C11" s="17">
        <v>9</v>
      </c>
      <c r="D11" s="15">
        <v>53</v>
      </c>
      <c r="E11" s="18">
        <v>2</v>
      </c>
      <c r="F11" s="18">
        <v>36</v>
      </c>
      <c r="G11" s="15">
        <f t="shared" si="0"/>
        <v>156</v>
      </c>
      <c r="H11" s="19">
        <f t="shared" si="1"/>
        <v>20.384615384615387</v>
      </c>
      <c r="I11" s="4">
        <v>138</v>
      </c>
      <c r="J11" s="15"/>
      <c r="K11" s="3">
        <v>53</v>
      </c>
      <c r="L11" s="3"/>
    </row>
    <row r="12" spans="1:12" x14ac:dyDescent="0.25">
      <c r="A12" s="5">
        <v>44460</v>
      </c>
      <c r="B12" s="58" t="s">
        <v>156</v>
      </c>
      <c r="C12" s="8">
        <v>10</v>
      </c>
      <c r="D12" s="3">
        <v>86</v>
      </c>
      <c r="E12" s="6">
        <v>3</v>
      </c>
      <c r="F12" s="6">
        <v>30</v>
      </c>
      <c r="G12" s="3">
        <f t="shared" si="0"/>
        <v>210</v>
      </c>
      <c r="H12" s="4">
        <f t="shared" si="1"/>
        <v>24.571428571428569</v>
      </c>
      <c r="I12" s="4"/>
      <c r="J12" s="3"/>
      <c r="K12" s="3">
        <v>86</v>
      </c>
      <c r="L12" s="3"/>
    </row>
    <row r="13" spans="1:12" x14ac:dyDescent="0.25">
      <c r="A13" s="5">
        <v>44462</v>
      </c>
      <c r="B13" s="25" t="s">
        <v>157</v>
      </c>
      <c r="C13" s="8">
        <v>11</v>
      </c>
      <c r="D13" s="3">
        <v>74</v>
      </c>
      <c r="E13" s="6">
        <v>3</v>
      </c>
      <c r="F13" s="6">
        <v>15</v>
      </c>
      <c r="G13" s="3">
        <f t="shared" si="0"/>
        <v>195</v>
      </c>
      <c r="H13" s="4">
        <f t="shared" si="1"/>
        <v>22.769230769230766</v>
      </c>
      <c r="I13" s="4">
        <v>228</v>
      </c>
      <c r="J13" s="3"/>
      <c r="K13" s="3"/>
      <c r="L13" s="3">
        <v>74</v>
      </c>
    </row>
    <row r="14" spans="1:12" x14ac:dyDescent="0.25">
      <c r="A14" s="5">
        <v>44464</v>
      </c>
      <c r="B14" s="25" t="s">
        <v>158</v>
      </c>
      <c r="C14" s="8">
        <v>12</v>
      </c>
      <c r="D14" s="3">
        <v>87</v>
      </c>
      <c r="E14" s="6">
        <v>3</v>
      </c>
      <c r="F14" s="6">
        <v>20</v>
      </c>
      <c r="G14" s="3">
        <f t="shared" si="0"/>
        <v>200</v>
      </c>
      <c r="H14" s="4">
        <f t="shared" si="1"/>
        <v>26.1</v>
      </c>
      <c r="I14" s="4">
        <v>297</v>
      </c>
      <c r="J14" s="15"/>
      <c r="K14" s="3"/>
      <c r="L14" s="3">
        <v>87</v>
      </c>
    </row>
    <row r="15" spans="1:12" x14ac:dyDescent="0.25">
      <c r="A15" s="5">
        <v>44467</v>
      </c>
      <c r="B15" s="25" t="s">
        <v>159</v>
      </c>
      <c r="C15" s="8">
        <v>13</v>
      </c>
      <c r="D15" s="3">
        <v>97</v>
      </c>
      <c r="E15" s="6">
        <v>3</v>
      </c>
      <c r="F15" s="6">
        <v>45</v>
      </c>
      <c r="G15" s="3">
        <f t="shared" si="0"/>
        <v>225</v>
      </c>
      <c r="H15" s="4">
        <f t="shared" si="1"/>
        <v>25.866666666666667</v>
      </c>
      <c r="I15" s="4">
        <v>474</v>
      </c>
      <c r="J15" s="3"/>
      <c r="K15" s="3"/>
      <c r="L15" s="3">
        <v>97</v>
      </c>
    </row>
    <row r="16" spans="1:12" x14ac:dyDescent="0.25">
      <c r="A16" s="5">
        <v>44469</v>
      </c>
      <c r="B16" s="25" t="s">
        <v>160</v>
      </c>
      <c r="C16" s="8">
        <v>14</v>
      </c>
      <c r="D16" s="3">
        <v>117</v>
      </c>
      <c r="E16" s="6">
        <v>4</v>
      </c>
      <c r="F16" s="6">
        <v>31</v>
      </c>
      <c r="G16" s="3">
        <f t="shared" si="0"/>
        <v>271</v>
      </c>
      <c r="H16" s="4">
        <f t="shared" si="1"/>
        <v>25.904059040590404</v>
      </c>
      <c r="I16" s="4">
        <v>489</v>
      </c>
      <c r="J16" s="3"/>
      <c r="K16" s="3"/>
      <c r="L16" s="3">
        <v>117</v>
      </c>
    </row>
    <row r="17" spans="1:12" x14ac:dyDescent="0.25">
      <c r="A17" s="5"/>
      <c r="B17" s="58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4"/>
      <c r="J17" s="3"/>
      <c r="K17" s="3"/>
      <c r="L17" s="3"/>
    </row>
    <row r="18" spans="1:12" x14ac:dyDescent="0.25">
      <c r="A18" s="5"/>
      <c r="B18" s="25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  <c r="K18" s="3"/>
      <c r="L18" s="3"/>
    </row>
    <row r="19" spans="1:12" x14ac:dyDescent="0.25">
      <c r="A19" s="5"/>
      <c r="B19" s="25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  <c r="K19" s="3"/>
      <c r="L19" s="3"/>
    </row>
    <row r="20" spans="1:12" x14ac:dyDescent="0.25">
      <c r="A20" s="5"/>
      <c r="B20" s="25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  <c r="K20" s="3"/>
      <c r="L20" s="3"/>
    </row>
    <row r="21" spans="1:12" x14ac:dyDescent="0.25">
      <c r="A21" s="5"/>
      <c r="B21" s="25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  <c r="K21" s="3"/>
      <c r="L21" s="3"/>
    </row>
    <row r="22" spans="1:12" x14ac:dyDescent="0.25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  <c r="K22" s="3"/>
      <c r="L22" s="3"/>
    </row>
    <row r="23" spans="1:12" x14ac:dyDescent="0.25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  <c r="K23" s="3"/>
      <c r="L23" s="3"/>
    </row>
    <row r="24" spans="1:12" x14ac:dyDescent="0.25">
      <c r="D24">
        <f>SUM(D3:D23)</f>
        <v>907</v>
      </c>
      <c r="I24" s="2">
        <f>SUM(I3:I23)</f>
        <v>4828</v>
      </c>
      <c r="K24" s="34"/>
      <c r="L24" s="34"/>
    </row>
    <row r="25" spans="1:12" x14ac:dyDescent="0.25">
      <c r="B25">
        <f>SUM(Aout!B26+Sept!D24)</f>
        <v>9806</v>
      </c>
      <c r="H25" s="2">
        <f>SUM(Aout!H25+Sept!I24)</f>
        <v>49801</v>
      </c>
      <c r="K25" s="34"/>
      <c r="L25" s="34"/>
    </row>
    <row r="26" spans="1:12" x14ac:dyDescent="0.25">
      <c r="K26" s="34"/>
      <c r="L26" s="34"/>
    </row>
    <row r="27" spans="1:12" x14ac:dyDescent="0.25">
      <c r="K27" s="34"/>
      <c r="L27" s="34"/>
    </row>
    <row r="28" spans="1:12" x14ac:dyDescent="0.25">
      <c r="K28" s="34"/>
      <c r="L28" s="34"/>
    </row>
    <row r="29" spans="1:12" x14ac:dyDescent="0.25">
      <c r="K29">
        <f>SUM(K3:K28)</f>
        <v>451</v>
      </c>
      <c r="L29">
        <f>SUM(L3:L28)</f>
        <v>456</v>
      </c>
    </row>
    <row r="30" spans="1:12" x14ac:dyDescent="0.25">
      <c r="K30">
        <f>SUM(Aout!K30+Sept!K29)</f>
        <v>1661.5</v>
      </c>
      <c r="L30">
        <f>SUM(Aout!L30+Sept!L29)</f>
        <v>7164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0"/>
  <sheetViews>
    <sheetView workbookViewId="0">
      <selection activeCell="K29" sqref="K29"/>
    </sheetView>
  </sheetViews>
  <sheetFormatPr baseColWidth="10" defaultRowHeight="15" x14ac:dyDescent="0.2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  <col min="11" max="11" width="8.42578125" customWidth="1"/>
    <col min="12" max="12" width="6.85546875" customWidth="1"/>
  </cols>
  <sheetData>
    <row r="1" spans="1:12" ht="27" thickBot="1" x14ac:dyDescent="0.45">
      <c r="A1" s="81" t="s">
        <v>16</v>
      </c>
      <c r="B1" s="81"/>
      <c r="C1" s="81"/>
      <c r="D1" s="81"/>
      <c r="E1" s="81"/>
      <c r="F1" s="81"/>
      <c r="G1" s="81"/>
      <c r="H1" s="26">
        <f>SUM(Janv!H1)</f>
        <v>2021</v>
      </c>
      <c r="I1" s="26"/>
      <c r="J1" s="26"/>
    </row>
    <row r="2" spans="1:12" ht="19.5" thickBot="1" x14ac:dyDescent="0.35">
      <c r="A2" s="11" t="s">
        <v>0</v>
      </c>
      <c r="B2" s="12" t="s">
        <v>1</v>
      </c>
      <c r="C2" s="12" t="s">
        <v>6</v>
      </c>
      <c r="D2" s="12" t="s">
        <v>2</v>
      </c>
      <c r="E2" s="80" t="s">
        <v>3</v>
      </c>
      <c r="F2" s="80"/>
      <c r="G2" s="80"/>
      <c r="H2" s="13" t="s">
        <v>4</v>
      </c>
      <c r="I2" s="31" t="s">
        <v>19</v>
      </c>
      <c r="J2" s="14" t="s">
        <v>5</v>
      </c>
      <c r="K2" s="64" t="s">
        <v>21</v>
      </c>
      <c r="L2" s="65" t="s">
        <v>22</v>
      </c>
    </row>
    <row r="3" spans="1:12" x14ac:dyDescent="0.25">
      <c r="A3" s="20">
        <v>44471</v>
      </c>
      <c r="B3" s="17" t="s">
        <v>161</v>
      </c>
      <c r="C3" s="17">
        <v>1</v>
      </c>
      <c r="D3" s="17">
        <v>86</v>
      </c>
      <c r="E3" s="21">
        <v>3</v>
      </c>
      <c r="F3" s="21">
        <v>18</v>
      </c>
      <c r="G3" s="17">
        <f>SUM(E3*60+F3)</f>
        <v>198</v>
      </c>
      <c r="H3" s="22">
        <f>SUM(D3/G3*60)</f>
        <v>26.060606060606062</v>
      </c>
      <c r="I3" s="10">
        <v>485</v>
      </c>
      <c r="J3" s="17"/>
      <c r="K3" s="8"/>
      <c r="L3" s="8">
        <v>86</v>
      </c>
    </row>
    <row r="4" spans="1:12" x14ac:dyDescent="0.25">
      <c r="A4" s="16">
        <v>44474</v>
      </c>
      <c r="B4" s="15" t="s">
        <v>162</v>
      </c>
      <c r="C4" s="17">
        <v>2</v>
      </c>
      <c r="D4" s="15">
        <v>93</v>
      </c>
      <c r="E4" s="18">
        <v>3</v>
      </c>
      <c r="F4" s="18">
        <v>48</v>
      </c>
      <c r="G4" s="15">
        <f t="shared" ref="G4:G23" si="0">SUM(E4*60+F4)</f>
        <v>228</v>
      </c>
      <c r="H4" s="19">
        <f t="shared" ref="H4:H23" si="1">SUM(D4/G4*60)</f>
        <v>24.473684210526315</v>
      </c>
      <c r="I4" s="10">
        <v>298</v>
      </c>
      <c r="J4" s="3"/>
      <c r="K4" s="3"/>
      <c r="L4" s="3">
        <v>93</v>
      </c>
    </row>
    <row r="5" spans="1:12" x14ac:dyDescent="0.25">
      <c r="A5" s="16">
        <v>44476</v>
      </c>
      <c r="B5" s="15" t="s">
        <v>163</v>
      </c>
      <c r="C5" s="17">
        <v>3</v>
      </c>
      <c r="D5" s="15">
        <v>124</v>
      </c>
      <c r="E5" s="18">
        <v>4</v>
      </c>
      <c r="F5" s="18">
        <v>33</v>
      </c>
      <c r="G5" s="15">
        <f t="shared" si="0"/>
        <v>273</v>
      </c>
      <c r="H5" s="19">
        <f t="shared" si="1"/>
        <v>27.252747252747252</v>
      </c>
      <c r="I5" s="19">
        <v>514</v>
      </c>
      <c r="J5" s="15"/>
      <c r="K5" s="3"/>
      <c r="L5" s="3">
        <v>124</v>
      </c>
    </row>
    <row r="6" spans="1:12" x14ac:dyDescent="0.25">
      <c r="A6" s="16">
        <v>44478</v>
      </c>
      <c r="B6" s="15" t="s">
        <v>164</v>
      </c>
      <c r="C6" s="17">
        <v>4</v>
      </c>
      <c r="D6" s="15">
        <v>86</v>
      </c>
      <c r="E6" s="18">
        <v>3</v>
      </c>
      <c r="F6" s="18">
        <v>28</v>
      </c>
      <c r="G6" s="15">
        <f t="shared" si="0"/>
        <v>208</v>
      </c>
      <c r="H6" s="19">
        <f t="shared" si="1"/>
        <v>24.807692307692307</v>
      </c>
      <c r="I6" s="19">
        <v>311</v>
      </c>
      <c r="J6" s="15"/>
      <c r="K6" s="3"/>
      <c r="L6" s="3">
        <v>86</v>
      </c>
    </row>
    <row r="7" spans="1:12" x14ac:dyDescent="0.25">
      <c r="A7" s="16">
        <v>44478</v>
      </c>
      <c r="B7" s="15" t="s">
        <v>145</v>
      </c>
      <c r="C7" s="17">
        <v>5</v>
      </c>
      <c r="D7" s="15">
        <v>28</v>
      </c>
      <c r="E7" s="18">
        <v>1</v>
      </c>
      <c r="F7" s="18">
        <v>45</v>
      </c>
      <c r="G7" s="15">
        <f t="shared" si="0"/>
        <v>105</v>
      </c>
      <c r="H7" s="19">
        <f t="shared" si="1"/>
        <v>16</v>
      </c>
      <c r="I7" s="19">
        <v>79</v>
      </c>
      <c r="J7" s="15"/>
      <c r="K7" s="3">
        <v>28</v>
      </c>
      <c r="L7" s="3"/>
    </row>
    <row r="8" spans="1:12" x14ac:dyDescent="0.25">
      <c r="A8" s="16">
        <v>44481</v>
      </c>
      <c r="B8" s="15" t="s">
        <v>165</v>
      </c>
      <c r="C8" s="17">
        <v>6</v>
      </c>
      <c r="D8" s="15">
        <v>98</v>
      </c>
      <c r="E8" s="18">
        <v>3</v>
      </c>
      <c r="F8" s="18">
        <v>45</v>
      </c>
      <c r="G8" s="15">
        <f t="shared" si="0"/>
        <v>225</v>
      </c>
      <c r="H8" s="19">
        <f t="shared" si="1"/>
        <v>26.133333333333333</v>
      </c>
      <c r="I8" s="19">
        <v>305</v>
      </c>
      <c r="J8" s="3"/>
      <c r="K8" s="3"/>
      <c r="L8" s="3">
        <v>98</v>
      </c>
    </row>
    <row r="9" spans="1:12" x14ac:dyDescent="0.25">
      <c r="A9" s="16">
        <v>44483</v>
      </c>
      <c r="B9" s="15" t="s">
        <v>166</v>
      </c>
      <c r="C9" s="17">
        <v>7</v>
      </c>
      <c r="D9" s="15">
        <v>100</v>
      </c>
      <c r="E9" s="18">
        <v>4</v>
      </c>
      <c r="F9" s="18">
        <v>7</v>
      </c>
      <c r="G9" s="15">
        <f t="shared" si="0"/>
        <v>247</v>
      </c>
      <c r="H9" s="19">
        <f t="shared" si="1"/>
        <v>24.291497975708502</v>
      </c>
      <c r="I9" s="19">
        <v>532</v>
      </c>
      <c r="J9" s="15"/>
      <c r="K9" s="6"/>
      <c r="L9" s="3">
        <v>100</v>
      </c>
    </row>
    <row r="10" spans="1:12" x14ac:dyDescent="0.25">
      <c r="A10" s="16">
        <v>44485</v>
      </c>
      <c r="B10" s="79" t="s">
        <v>167</v>
      </c>
      <c r="C10" s="17">
        <v>8</v>
      </c>
      <c r="D10" s="15">
        <v>71</v>
      </c>
      <c r="E10" s="18">
        <v>3</v>
      </c>
      <c r="F10" s="18">
        <v>12</v>
      </c>
      <c r="G10" s="15">
        <f t="shared" si="0"/>
        <v>192</v>
      </c>
      <c r="H10" s="19">
        <f t="shared" si="1"/>
        <v>22.1875</v>
      </c>
      <c r="I10" s="10">
        <v>263</v>
      </c>
      <c r="J10" s="15"/>
      <c r="K10" s="3"/>
      <c r="L10" s="3">
        <v>71</v>
      </c>
    </row>
    <row r="11" spans="1:12" x14ac:dyDescent="0.25">
      <c r="A11" s="5">
        <v>44485</v>
      </c>
      <c r="B11" s="15" t="s">
        <v>145</v>
      </c>
      <c r="C11" s="8">
        <v>9</v>
      </c>
      <c r="D11" s="3">
        <v>29</v>
      </c>
      <c r="E11" s="6">
        <v>1</v>
      </c>
      <c r="F11" s="6">
        <v>57</v>
      </c>
      <c r="G11" s="3">
        <f t="shared" si="0"/>
        <v>117</v>
      </c>
      <c r="H11" s="4">
        <f t="shared" si="1"/>
        <v>14.871794871794872</v>
      </c>
      <c r="I11" s="4">
        <v>108</v>
      </c>
      <c r="J11" s="3"/>
      <c r="K11" s="3">
        <v>29</v>
      </c>
      <c r="L11" s="3"/>
    </row>
    <row r="12" spans="1:12" x14ac:dyDescent="0.25">
      <c r="A12" s="5">
        <v>44488</v>
      </c>
      <c r="B12" s="3" t="s">
        <v>168</v>
      </c>
      <c r="C12" s="8">
        <v>10</v>
      </c>
      <c r="D12" s="3">
        <v>96</v>
      </c>
      <c r="E12" s="6">
        <v>3</v>
      </c>
      <c r="F12" s="6">
        <v>42</v>
      </c>
      <c r="G12" s="3">
        <f t="shared" si="0"/>
        <v>222</v>
      </c>
      <c r="H12" s="4">
        <f t="shared" si="1"/>
        <v>25.945945945945947</v>
      </c>
      <c r="I12" s="4">
        <v>461</v>
      </c>
      <c r="J12" s="3"/>
      <c r="K12" s="3"/>
      <c r="L12" s="3">
        <v>96</v>
      </c>
    </row>
    <row r="13" spans="1:12" x14ac:dyDescent="0.25">
      <c r="A13" s="5">
        <v>44490</v>
      </c>
      <c r="B13" s="3" t="s">
        <v>90</v>
      </c>
      <c r="C13" s="8">
        <v>11</v>
      </c>
      <c r="D13" s="3">
        <v>96</v>
      </c>
      <c r="E13" s="6">
        <v>3</v>
      </c>
      <c r="F13" s="6">
        <v>59</v>
      </c>
      <c r="G13" s="3">
        <f t="shared" si="0"/>
        <v>239</v>
      </c>
      <c r="H13" s="4">
        <f t="shared" si="1"/>
        <v>24.10041841004184</v>
      </c>
      <c r="I13" s="4">
        <v>460</v>
      </c>
      <c r="J13" s="3"/>
      <c r="K13" s="3"/>
      <c r="L13" s="3">
        <v>96</v>
      </c>
    </row>
    <row r="14" spans="1:12" x14ac:dyDescent="0.25">
      <c r="A14" s="5">
        <v>44492</v>
      </c>
      <c r="B14" s="3" t="s">
        <v>169</v>
      </c>
      <c r="C14" s="8">
        <v>12</v>
      </c>
      <c r="D14" s="3">
        <v>68</v>
      </c>
      <c r="E14" s="6">
        <v>2</v>
      </c>
      <c r="F14" s="6">
        <v>44</v>
      </c>
      <c r="G14" s="3">
        <f t="shared" si="0"/>
        <v>164</v>
      </c>
      <c r="H14" s="4">
        <f t="shared" si="1"/>
        <v>24.878048780487802</v>
      </c>
      <c r="I14" s="4">
        <v>238</v>
      </c>
      <c r="J14" s="3"/>
      <c r="K14" s="3"/>
      <c r="L14" s="3">
        <v>68</v>
      </c>
    </row>
    <row r="15" spans="1:12" x14ac:dyDescent="0.25">
      <c r="A15" s="5">
        <v>44492</v>
      </c>
      <c r="B15" s="3" t="s">
        <v>145</v>
      </c>
      <c r="C15" s="8">
        <v>13</v>
      </c>
      <c r="D15" s="3">
        <v>22</v>
      </c>
      <c r="E15" s="6">
        <v>1</v>
      </c>
      <c r="F15" s="6">
        <v>17</v>
      </c>
      <c r="G15" s="3">
        <f t="shared" si="0"/>
        <v>77</v>
      </c>
      <c r="H15" s="4">
        <f t="shared" si="1"/>
        <v>17.142857142857142</v>
      </c>
      <c r="I15" s="4">
        <v>92</v>
      </c>
      <c r="J15" s="3"/>
      <c r="K15" s="3">
        <v>22</v>
      </c>
      <c r="L15" s="3"/>
    </row>
    <row r="16" spans="1:12" x14ac:dyDescent="0.25">
      <c r="A16" s="5">
        <v>44495</v>
      </c>
      <c r="B16" s="3" t="s">
        <v>170</v>
      </c>
      <c r="C16" s="8">
        <v>14</v>
      </c>
      <c r="D16" s="3">
        <v>108</v>
      </c>
      <c r="E16" s="6">
        <v>4</v>
      </c>
      <c r="F16" s="6">
        <v>11</v>
      </c>
      <c r="G16" s="3">
        <f t="shared" si="0"/>
        <v>251</v>
      </c>
      <c r="H16" s="4">
        <f t="shared" si="1"/>
        <v>25.816733067729086</v>
      </c>
      <c r="I16" s="4">
        <v>302</v>
      </c>
      <c r="J16" s="3"/>
      <c r="K16" s="3"/>
      <c r="L16" s="3">
        <v>108</v>
      </c>
    </row>
    <row r="17" spans="1:12" x14ac:dyDescent="0.25">
      <c r="A17" s="5">
        <v>44497</v>
      </c>
      <c r="B17" s="3" t="s">
        <v>171</v>
      </c>
      <c r="C17" s="8">
        <v>15</v>
      </c>
      <c r="D17" s="3">
        <v>92</v>
      </c>
      <c r="E17" s="6">
        <v>3</v>
      </c>
      <c r="F17" s="6">
        <v>50</v>
      </c>
      <c r="G17" s="3">
        <f t="shared" si="0"/>
        <v>230</v>
      </c>
      <c r="H17" s="4">
        <f t="shared" si="1"/>
        <v>24</v>
      </c>
      <c r="I17" s="4">
        <v>447</v>
      </c>
      <c r="J17" s="3"/>
      <c r="K17" s="3"/>
      <c r="L17" s="3">
        <v>92</v>
      </c>
    </row>
    <row r="18" spans="1:12" x14ac:dyDescent="0.25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  <c r="K18" s="3"/>
      <c r="L18" s="3"/>
    </row>
    <row r="19" spans="1:12" x14ac:dyDescent="0.25">
      <c r="A19" s="5"/>
      <c r="B19" s="15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  <c r="K19" s="3"/>
      <c r="L19" s="3"/>
    </row>
    <row r="20" spans="1:12" x14ac:dyDescent="0.25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  <c r="K20" s="3"/>
      <c r="L20" s="3"/>
    </row>
    <row r="21" spans="1:12" x14ac:dyDescent="0.25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  <c r="K21" s="3"/>
      <c r="L21" s="3"/>
    </row>
    <row r="22" spans="1:12" x14ac:dyDescent="0.25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  <c r="K22" s="3"/>
      <c r="L22" s="3"/>
    </row>
    <row r="23" spans="1:12" x14ac:dyDescent="0.25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  <c r="K23" s="3"/>
      <c r="L23" s="3"/>
    </row>
    <row r="24" spans="1:12" x14ac:dyDescent="0.25">
      <c r="D24">
        <f>SUM(D3:D23)</f>
        <v>1197</v>
      </c>
      <c r="I24" s="2">
        <f>SUM(I3:I23)</f>
        <v>4895</v>
      </c>
      <c r="K24" s="34"/>
      <c r="L24" s="34"/>
    </row>
    <row r="25" spans="1:12" x14ac:dyDescent="0.25">
      <c r="B25">
        <f>SUM(Sept!B25+Oct!D24)</f>
        <v>11003</v>
      </c>
      <c r="H25" s="2">
        <f>SUM(Sept!H25+Oct!I24)</f>
        <v>54696</v>
      </c>
      <c r="K25" s="34"/>
      <c r="L25" s="34"/>
    </row>
    <row r="26" spans="1:12" x14ac:dyDescent="0.25">
      <c r="K26" s="34"/>
      <c r="L26" s="34"/>
    </row>
    <row r="27" spans="1:12" x14ac:dyDescent="0.25">
      <c r="K27" s="34"/>
      <c r="L27" s="34"/>
    </row>
    <row r="28" spans="1:12" x14ac:dyDescent="0.25">
      <c r="K28" s="34"/>
      <c r="L28" s="34"/>
    </row>
    <row r="29" spans="1:12" x14ac:dyDescent="0.25">
      <c r="K29">
        <f>SUM(K3:K28)</f>
        <v>79</v>
      </c>
      <c r="L29">
        <f>SUM(L3:L28)</f>
        <v>1118</v>
      </c>
    </row>
    <row r="30" spans="1:12" x14ac:dyDescent="0.25">
      <c r="K30">
        <f>SUM(Sept!K30+Oct!K29)</f>
        <v>1740.5</v>
      </c>
      <c r="L30">
        <f>SUM(Sept!L30+Oct!L29)</f>
        <v>8282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0"/>
  <sheetViews>
    <sheetView workbookViewId="0">
      <selection activeCell="N19" sqref="N19"/>
    </sheetView>
  </sheetViews>
  <sheetFormatPr baseColWidth="10" defaultRowHeight="15" x14ac:dyDescent="0.2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  <col min="11" max="11" width="8.42578125" customWidth="1"/>
    <col min="12" max="12" width="6.85546875" customWidth="1"/>
  </cols>
  <sheetData>
    <row r="1" spans="1:12" ht="27" thickBot="1" x14ac:dyDescent="0.45">
      <c r="A1" s="81" t="s">
        <v>17</v>
      </c>
      <c r="B1" s="81"/>
      <c r="C1" s="81"/>
      <c r="D1" s="81"/>
      <c r="E1" s="81"/>
      <c r="F1" s="81"/>
      <c r="G1" s="81"/>
      <c r="H1" s="26">
        <f>SUM(Janv!H1)</f>
        <v>2021</v>
      </c>
      <c r="I1" s="26"/>
      <c r="J1" s="26"/>
    </row>
    <row r="2" spans="1:12" ht="19.5" thickBot="1" x14ac:dyDescent="0.35">
      <c r="A2" s="11" t="s">
        <v>0</v>
      </c>
      <c r="B2" s="12" t="s">
        <v>1</v>
      </c>
      <c r="C2" s="12" t="s">
        <v>6</v>
      </c>
      <c r="D2" s="12" t="s">
        <v>2</v>
      </c>
      <c r="E2" s="80" t="s">
        <v>3</v>
      </c>
      <c r="F2" s="80"/>
      <c r="G2" s="80"/>
      <c r="H2" s="13" t="s">
        <v>4</v>
      </c>
      <c r="I2" s="31" t="s">
        <v>19</v>
      </c>
      <c r="J2" s="14" t="s">
        <v>5</v>
      </c>
      <c r="K2" s="64" t="s">
        <v>21</v>
      </c>
      <c r="L2" s="65" t="s">
        <v>22</v>
      </c>
    </row>
    <row r="3" spans="1:12" x14ac:dyDescent="0.25">
      <c r="A3" s="20">
        <v>44502</v>
      </c>
      <c r="B3" s="17" t="s">
        <v>172</v>
      </c>
      <c r="C3" s="17">
        <v>1</v>
      </c>
      <c r="D3" s="17">
        <v>80</v>
      </c>
      <c r="E3" s="21">
        <v>3</v>
      </c>
      <c r="F3" s="21">
        <v>15</v>
      </c>
      <c r="G3" s="17">
        <f>SUM(E3*60+F3)</f>
        <v>195</v>
      </c>
      <c r="H3" s="22">
        <f>SUM(D3/G3*60)</f>
        <v>24.615384615384613</v>
      </c>
      <c r="I3" s="10">
        <v>382</v>
      </c>
      <c r="J3" s="15"/>
      <c r="K3" s="8"/>
      <c r="L3" s="8">
        <v>80</v>
      </c>
    </row>
    <row r="4" spans="1:12" x14ac:dyDescent="0.25">
      <c r="A4" s="16">
        <v>44504</v>
      </c>
      <c r="B4" s="15" t="s">
        <v>173</v>
      </c>
      <c r="C4" s="17">
        <v>2</v>
      </c>
      <c r="D4" s="15">
        <v>81</v>
      </c>
      <c r="E4" s="18">
        <v>3</v>
      </c>
      <c r="F4" s="18">
        <v>21</v>
      </c>
      <c r="G4" s="15">
        <f>SUM(E4*60+F4)</f>
        <v>201</v>
      </c>
      <c r="H4" s="19">
        <f t="shared" ref="H4:H23" si="0">SUM(D4/G4*60)</f>
        <v>24.17910447761194</v>
      </c>
      <c r="I4" s="10">
        <v>383</v>
      </c>
      <c r="J4" s="15"/>
      <c r="K4" s="3"/>
      <c r="L4" s="3">
        <v>81</v>
      </c>
    </row>
    <row r="5" spans="1:12" x14ac:dyDescent="0.25">
      <c r="A5" s="16">
        <v>44506</v>
      </c>
      <c r="B5" s="15" t="s">
        <v>174</v>
      </c>
      <c r="C5" s="17">
        <v>3</v>
      </c>
      <c r="D5" s="15">
        <v>75</v>
      </c>
      <c r="E5" s="18">
        <v>3</v>
      </c>
      <c r="F5" s="18">
        <v>2</v>
      </c>
      <c r="G5" s="15">
        <f>SUM(E5*60+F5)</f>
        <v>182</v>
      </c>
      <c r="H5" s="19">
        <f t="shared" si="0"/>
        <v>24.725274725274723</v>
      </c>
      <c r="I5" s="19">
        <v>307</v>
      </c>
      <c r="J5" s="15"/>
      <c r="K5" s="3"/>
      <c r="L5" s="3">
        <v>75</v>
      </c>
    </row>
    <row r="6" spans="1:12" x14ac:dyDescent="0.25">
      <c r="A6" s="16">
        <v>44506</v>
      </c>
      <c r="B6" s="15" t="s">
        <v>175</v>
      </c>
      <c r="C6" s="17">
        <v>4</v>
      </c>
      <c r="D6" s="15">
        <v>49</v>
      </c>
      <c r="E6" s="18">
        <v>2</v>
      </c>
      <c r="F6" s="18">
        <v>1</v>
      </c>
      <c r="G6" s="15">
        <f t="shared" ref="G6:G23" si="1">SUM(E6*60+F6)</f>
        <v>121</v>
      </c>
      <c r="H6" s="19">
        <f t="shared" si="0"/>
        <v>24.297520661157023</v>
      </c>
      <c r="I6" s="19">
        <v>60</v>
      </c>
      <c r="J6" s="15"/>
      <c r="K6" s="3"/>
      <c r="L6" s="3">
        <v>49</v>
      </c>
    </row>
    <row r="7" spans="1:12" x14ac:dyDescent="0.25">
      <c r="A7" s="16">
        <v>44509</v>
      </c>
      <c r="B7" s="15" t="s">
        <v>176</v>
      </c>
      <c r="C7" s="17">
        <v>5</v>
      </c>
      <c r="D7" s="15">
        <v>54</v>
      </c>
      <c r="E7" s="18">
        <v>2</v>
      </c>
      <c r="F7" s="18">
        <v>34</v>
      </c>
      <c r="G7" s="15">
        <f t="shared" si="1"/>
        <v>154</v>
      </c>
      <c r="H7" s="19">
        <f t="shared" si="0"/>
        <v>21.038961038961041</v>
      </c>
      <c r="I7" s="19">
        <v>177</v>
      </c>
      <c r="J7" s="15"/>
      <c r="K7" s="3"/>
      <c r="L7" s="3">
        <v>54</v>
      </c>
    </row>
    <row r="8" spans="1:12" x14ac:dyDescent="0.25">
      <c r="A8" s="16">
        <v>44510</v>
      </c>
      <c r="B8" s="15" t="s">
        <v>177</v>
      </c>
      <c r="C8" s="17">
        <v>6</v>
      </c>
      <c r="D8" s="15">
        <v>81</v>
      </c>
      <c r="E8" s="18">
        <v>3</v>
      </c>
      <c r="F8" s="18">
        <v>17</v>
      </c>
      <c r="G8" s="15">
        <f t="shared" si="1"/>
        <v>197</v>
      </c>
      <c r="H8" s="19">
        <f t="shared" si="0"/>
        <v>24.670050761421322</v>
      </c>
      <c r="I8" s="19">
        <v>341</v>
      </c>
      <c r="J8" s="15"/>
      <c r="K8" s="3"/>
      <c r="L8" s="3">
        <v>81</v>
      </c>
    </row>
    <row r="9" spans="1:12" x14ac:dyDescent="0.25">
      <c r="A9" s="16">
        <v>44510</v>
      </c>
      <c r="B9" s="15" t="s">
        <v>178</v>
      </c>
      <c r="C9" s="17">
        <v>7</v>
      </c>
      <c r="D9" s="15">
        <v>9</v>
      </c>
      <c r="E9" s="18"/>
      <c r="F9" s="18">
        <v>31</v>
      </c>
      <c r="G9" s="15">
        <f t="shared" si="1"/>
        <v>31</v>
      </c>
      <c r="H9" s="19">
        <f t="shared" si="0"/>
        <v>17.41935483870968</v>
      </c>
      <c r="I9" s="19">
        <v>22</v>
      </c>
      <c r="J9" s="15"/>
      <c r="K9" s="6">
        <v>9</v>
      </c>
      <c r="L9" s="3"/>
    </row>
    <row r="10" spans="1:12" x14ac:dyDescent="0.25">
      <c r="A10" s="16">
        <v>44513</v>
      </c>
      <c r="B10" s="15" t="s">
        <v>179</v>
      </c>
      <c r="C10" s="17">
        <v>8</v>
      </c>
      <c r="D10" s="15">
        <v>72</v>
      </c>
      <c r="E10" s="18">
        <v>3</v>
      </c>
      <c r="F10" s="18">
        <v>5</v>
      </c>
      <c r="G10" s="15">
        <f t="shared" si="1"/>
        <v>185</v>
      </c>
      <c r="H10" s="19">
        <f t="shared" si="0"/>
        <v>23.351351351351354</v>
      </c>
      <c r="I10" s="10">
        <v>340</v>
      </c>
      <c r="J10" s="15"/>
      <c r="K10" s="3"/>
      <c r="L10" s="3">
        <v>72</v>
      </c>
    </row>
    <row r="11" spans="1:12" x14ac:dyDescent="0.25">
      <c r="A11" s="16">
        <v>44513</v>
      </c>
      <c r="B11" s="6" t="s">
        <v>36</v>
      </c>
      <c r="C11" s="17">
        <v>9</v>
      </c>
      <c r="D11" s="15">
        <v>31</v>
      </c>
      <c r="E11" s="18">
        <v>1</v>
      </c>
      <c r="F11" s="18">
        <v>44</v>
      </c>
      <c r="G11" s="15">
        <f t="shared" si="1"/>
        <v>104</v>
      </c>
      <c r="H11" s="19">
        <f t="shared" si="0"/>
        <v>17.884615384615383</v>
      </c>
      <c r="I11" s="4">
        <v>47</v>
      </c>
      <c r="J11" s="15"/>
      <c r="K11" s="3"/>
      <c r="L11" s="3">
        <v>31</v>
      </c>
    </row>
    <row r="12" spans="1:12" x14ac:dyDescent="0.25">
      <c r="A12" s="16">
        <v>44516</v>
      </c>
      <c r="B12" s="15" t="s">
        <v>180</v>
      </c>
      <c r="C12" s="17">
        <v>10</v>
      </c>
      <c r="D12" s="15">
        <v>84</v>
      </c>
      <c r="E12" s="18">
        <v>3</v>
      </c>
      <c r="F12" s="18">
        <v>28</v>
      </c>
      <c r="G12" s="15">
        <f t="shared" si="1"/>
        <v>208</v>
      </c>
      <c r="H12" s="19">
        <f t="shared" si="0"/>
        <v>24.23076923076923</v>
      </c>
      <c r="I12" s="4">
        <v>345</v>
      </c>
      <c r="J12" s="15"/>
      <c r="K12" s="3"/>
      <c r="L12" s="3">
        <v>84</v>
      </c>
    </row>
    <row r="13" spans="1:12" x14ac:dyDescent="0.25">
      <c r="A13" s="16">
        <v>44520</v>
      </c>
      <c r="B13" s="15" t="s">
        <v>181</v>
      </c>
      <c r="C13" s="17">
        <v>11</v>
      </c>
      <c r="D13" s="15">
        <v>72</v>
      </c>
      <c r="E13" s="18">
        <v>3</v>
      </c>
      <c r="F13" s="18"/>
      <c r="G13" s="15">
        <f t="shared" si="1"/>
        <v>180</v>
      </c>
      <c r="H13" s="19">
        <f t="shared" si="0"/>
        <v>24</v>
      </c>
      <c r="I13" s="4">
        <v>270</v>
      </c>
      <c r="J13" s="15"/>
      <c r="K13" s="3"/>
      <c r="L13" s="3">
        <v>72</v>
      </c>
    </row>
    <row r="14" spans="1:12" x14ac:dyDescent="0.25">
      <c r="A14" s="16">
        <v>44520</v>
      </c>
      <c r="B14" s="6" t="s">
        <v>36</v>
      </c>
      <c r="C14" s="17">
        <v>12</v>
      </c>
      <c r="D14" s="15">
        <v>22</v>
      </c>
      <c r="E14" s="18">
        <v>1</v>
      </c>
      <c r="F14" s="18">
        <v>19</v>
      </c>
      <c r="G14" s="15">
        <f t="shared" si="1"/>
        <v>79</v>
      </c>
      <c r="H14" s="19">
        <f t="shared" si="0"/>
        <v>16.708860759493671</v>
      </c>
      <c r="I14" s="4">
        <v>27</v>
      </c>
      <c r="J14" s="15"/>
      <c r="K14" s="3">
        <v>22</v>
      </c>
      <c r="L14" s="3"/>
    </row>
    <row r="15" spans="1:12" x14ac:dyDescent="0.25">
      <c r="A15" s="5">
        <v>44525</v>
      </c>
      <c r="B15" s="3" t="s">
        <v>182</v>
      </c>
      <c r="C15" s="8">
        <v>13</v>
      </c>
      <c r="D15" s="3">
        <v>86</v>
      </c>
      <c r="E15" s="6">
        <v>3</v>
      </c>
      <c r="F15" s="6">
        <v>31</v>
      </c>
      <c r="G15" s="3">
        <f t="shared" si="1"/>
        <v>211</v>
      </c>
      <c r="H15" s="4">
        <f t="shared" si="0"/>
        <v>24.454976303317537</v>
      </c>
      <c r="I15" s="4">
        <v>297</v>
      </c>
      <c r="J15" s="15"/>
      <c r="K15" s="3"/>
      <c r="L15" s="3">
        <v>86</v>
      </c>
    </row>
    <row r="16" spans="1:12" x14ac:dyDescent="0.25">
      <c r="A16" s="5">
        <v>44530</v>
      </c>
      <c r="B16" s="3" t="s">
        <v>183</v>
      </c>
      <c r="C16" s="8">
        <v>14</v>
      </c>
      <c r="D16" s="3">
        <v>86</v>
      </c>
      <c r="E16" s="39">
        <v>3</v>
      </c>
      <c r="F16" s="6">
        <v>36</v>
      </c>
      <c r="G16" s="3">
        <f t="shared" si="1"/>
        <v>216</v>
      </c>
      <c r="H16" s="4">
        <f t="shared" si="0"/>
        <v>23.888888888888889</v>
      </c>
      <c r="I16" s="4">
        <v>342</v>
      </c>
      <c r="J16" s="3"/>
      <c r="K16" s="3"/>
      <c r="L16" s="3">
        <v>86</v>
      </c>
    </row>
    <row r="17" spans="1:12" x14ac:dyDescent="0.25">
      <c r="A17" s="5"/>
      <c r="B17" s="3"/>
      <c r="C17" s="8">
        <v>15</v>
      </c>
      <c r="D17" s="3"/>
      <c r="E17" s="6"/>
      <c r="F17" s="6"/>
      <c r="G17" s="3">
        <f t="shared" si="1"/>
        <v>0</v>
      </c>
      <c r="H17" s="4" t="e">
        <f t="shared" si="0"/>
        <v>#DIV/0!</v>
      </c>
      <c r="I17" s="4"/>
      <c r="J17" s="3"/>
      <c r="K17" s="3"/>
      <c r="L17" s="3"/>
    </row>
    <row r="18" spans="1:12" x14ac:dyDescent="0.25">
      <c r="A18" s="5"/>
      <c r="B18" s="3"/>
      <c r="C18" s="8">
        <v>16</v>
      </c>
      <c r="D18" s="3"/>
      <c r="E18" s="6"/>
      <c r="F18" s="6"/>
      <c r="G18" s="3">
        <f t="shared" si="1"/>
        <v>0</v>
      </c>
      <c r="H18" s="4" t="e">
        <f t="shared" si="0"/>
        <v>#DIV/0!</v>
      </c>
      <c r="I18" s="4"/>
      <c r="J18" s="3"/>
      <c r="K18" s="3"/>
      <c r="L18" s="3"/>
    </row>
    <row r="19" spans="1:12" x14ac:dyDescent="0.25">
      <c r="A19" s="5"/>
      <c r="B19" s="3"/>
      <c r="C19" s="8">
        <v>17</v>
      </c>
      <c r="D19" s="3"/>
      <c r="E19" s="6"/>
      <c r="F19" s="6"/>
      <c r="G19" s="3">
        <f t="shared" si="1"/>
        <v>0</v>
      </c>
      <c r="H19" s="4" t="e">
        <f t="shared" si="0"/>
        <v>#DIV/0!</v>
      </c>
      <c r="I19" s="4"/>
      <c r="J19" s="3"/>
      <c r="K19" s="3"/>
      <c r="L19" s="3"/>
    </row>
    <row r="20" spans="1:12" x14ac:dyDescent="0.25">
      <c r="A20" s="5"/>
      <c r="B20" s="3"/>
      <c r="C20" s="8">
        <v>18</v>
      </c>
      <c r="D20" s="3"/>
      <c r="E20" s="6"/>
      <c r="F20" s="6"/>
      <c r="G20" s="3">
        <f t="shared" si="1"/>
        <v>0</v>
      </c>
      <c r="H20" s="4" t="e">
        <f t="shared" si="0"/>
        <v>#DIV/0!</v>
      </c>
      <c r="I20" s="4"/>
      <c r="J20" s="3"/>
      <c r="K20" s="3"/>
      <c r="L20" s="3"/>
    </row>
    <row r="21" spans="1:12" x14ac:dyDescent="0.25">
      <c r="A21" s="5"/>
      <c r="B21" s="3"/>
      <c r="C21" s="8">
        <v>19</v>
      </c>
      <c r="D21" s="3"/>
      <c r="E21" s="6"/>
      <c r="F21" s="6"/>
      <c r="G21" s="3">
        <f t="shared" si="1"/>
        <v>0</v>
      </c>
      <c r="H21" s="4" t="e">
        <f t="shared" si="0"/>
        <v>#DIV/0!</v>
      </c>
      <c r="I21" s="4"/>
      <c r="J21" s="3"/>
      <c r="K21" s="3"/>
      <c r="L21" s="3"/>
    </row>
    <row r="22" spans="1:12" x14ac:dyDescent="0.25">
      <c r="A22" s="5"/>
      <c r="B22" s="3"/>
      <c r="C22" s="8">
        <v>20</v>
      </c>
      <c r="D22" s="3"/>
      <c r="E22" s="6"/>
      <c r="F22" s="6"/>
      <c r="G22" s="3">
        <f t="shared" si="1"/>
        <v>0</v>
      </c>
      <c r="H22" s="4" t="e">
        <f t="shared" si="0"/>
        <v>#DIV/0!</v>
      </c>
      <c r="I22" s="4"/>
      <c r="J22" s="3"/>
      <c r="K22" s="3"/>
      <c r="L22" s="3"/>
    </row>
    <row r="23" spans="1:12" x14ac:dyDescent="0.25">
      <c r="A23" s="5"/>
      <c r="B23" s="3"/>
      <c r="C23" s="3"/>
      <c r="D23" s="3"/>
      <c r="E23" s="6"/>
      <c r="F23" s="6"/>
      <c r="G23" s="3">
        <f t="shared" si="1"/>
        <v>0</v>
      </c>
      <c r="H23" s="4" t="e">
        <f t="shared" si="0"/>
        <v>#DIV/0!</v>
      </c>
      <c r="I23" s="4"/>
      <c r="J23" s="3"/>
      <c r="K23" s="3"/>
      <c r="L23" s="3"/>
    </row>
    <row r="24" spans="1:12" x14ac:dyDescent="0.25">
      <c r="D24">
        <f>SUM(D3:D23)</f>
        <v>882</v>
      </c>
      <c r="I24" s="2">
        <f>SUM(I3:I23)</f>
        <v>3340</v>
      </c>
      <c r="K24" s="34"/>
      <c r="L24" s="34"/>
    </row>
    <row r="25" spans="1:12" x14ac:dyDescent="0.25">
      <c r="B25">
        <f>SUM(Oct!B25+Nov!D24)</f>
        <v>11885</v>
      </c>
      <c r="H25" s="2">
        <f>SUM(Oct!H25+Nov!I24)</f>
        <v>58036</v>
      </c>
      <c r="K25" s="34"/>
      <c r="L25" s="34"/>
    </row>
    <row r="26" spans="1:12" x14ac:dyDescent="0.25">
      <c r="K26" s="34"/>
      <c r="L26" s="34"/>
    </row>
    <row r="27" spans="1:12" x14ac:dyDescent="0.25">
      <c r="K27" s="34"/>
      <c r="L27" s="34"/>
    </row>
    <row r="28" spans="1:12" x14ac:dyDescent="0.25">
      <c r="K28" s="34"/>
      <c r="L28" s="34"/>
    </row>
    <row r="29" spans="1:12" x14ac:dyDescent="0.25">
      <c r="K29">
        <f>SUM(K3:K23)</f>
        <v>31</v>
      </c>
      <c r="L29">
        <f>SUM(L3:L23)</f>
        <v>851</v>
      </c>
    </row>
    <row r="30" spans="1:12" x14ac:dyDescent="0.25">
      <c r="K30">
        <f>SUM(Oct!K30+Nov!K29)</f>
        <v>1771.5</v>
      </c>
      <c r="L30">
        <f>SUM(Oct!L30+Nov!L29)</f>
        <v>9133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0"/>
  <sheetViews>
    <sheetView tabSelected="1" workbookViewId="0">
      <selection activeCell="J31" sqref="J31"/>
    </sheetView>
  </sheetViews>
  <sheetFormatPr baseColWidth="10" defaultRowHeight="15" x14ac:dyDescent="0.2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  <col min="11" max="11" width="8.42578125" customWidth="1"/>
    <col min="12" max="12" width="6.85546875" customWidth="1"/>
  </cols>
  <sheetData>
    <row r="1" spans="1:12" ht="27" thickBot="1" x14ac:dyDescent="0.45">
      <c r="A1" s="81" t="s">
        <v>18</v>
      </c>
      <c r="B1" s="81"/>
      <c r="C1" s="81"/>
      <c r="D1" s="81"/>
      <c r="E1" s="81"/>
      <c r="F1" s="81"/>
      <c r="G1" s="81"/>
      <c r="H1" s="26">
        <f>SUM(Janv!H1)</f>
        <v>2021</v>
      </c>
      <c r="I1" s="26"/>
      <c r="J1" s="26"/>
    </row>
    <row r="2" spans="1:12" ht="19.5" thickBot="1" x14ac:dyDescent="0.35">
      <c r="A2" s="11" t="s">
        <v>0</v>
      </c>
      <c r="B2" s="12" t="s">
        <v>1</v>
      </c>
      <c r="C2" s="12" t="s">
        <v>6</v>
      </c>
      <c r="D2" s="12" t="s">
        <v>2</v>
      </c>
      <c r="E2" s="80" t="s">
        <v>3</v>
      </c>
      <c r="F2" s="80"/>
      <c r="G2" s="80"/>
      <c r="H2" s="13" t="s">
        <v>4</v>
      </c>
      <c r="I2" s="31" t="s">
        <v>19</v>
      </c>
      <c r="J2" s="14" t="s">
        <v>5</v>
      </c>
      <c r="K2" s="64" t="s">
        <v>21</v>
      </c>
      <c r="L2" s="65" t="s">
        <v>22</v>
      </c>
    </row>
    <row r="3" spans="1:12" x14ac:dyDescent="0.25">
      <c r="A3" s="7">
        <v>44532</v>
      </c>
      <c r="B3" s="8" t="s">
        <v>184</v>
      </c>
      <c r="C3" s="8">
        <v>1</v>
      </c>
      <c r="D3" s="8">
        <v>84</v>
      </c>
      <c r="E3" s="9">
        <v>3</v>
      </c>
      <c r="F3" s="9">
        <v>28</v>
      </c>
      <c r="G3" s="8">
        <f>SUM(E3*60+F3)</f>
        <v>208</v>
      </c>
      <c r="H3" s="10">
        <f>SUM(D3/G3*60)</f>
        <v>24.23076923076923</v>
      </c>
      <c r="I3" s="10">
        <v>326</v>
      </c>
      <c r="J3" s="8"/>
      <c r="K3" s="8"/>
      <c r="L3" s="8">
        <v>84</v>
      </c>
    </row>
    <row r="4" spans="1:12" x14ac:dyDescent="0.25">
      <c r="A4" s="5">
        <v>44539</v>
      </c>
      <c r="B4" s="15" t="s">
        <v>186</v>
      </c>
      <c r="C4" s="8">
        <v>3</v>
      </c>
      <c r="D4" s="3">
        <v>83</v>
      </c>
      <c r="E4" s="6">
        <v>3</v>
      </c>
      <c r="F4" s="6">
        <v>31</v>
      </c>
      <c r="G4" s="3">
        <f t="shared" ref="G4:G23" si="0">SUM(E4*60+F4)</f>
        <v>211</v>
      </c>
      <c r="H4" s="4">
        <f t="shared" ref="H4:H23" si="1">SUM(D4/G4*60)</f>
        <v>23.601895734597157</v>
      </c>
      <c r="I4" s="10">
        <v>398</v>
      </c>
      <c r="J4" s="8"/>
      <c r="K4" s="3"/>
      <c r="L4" s="3">
        <v>83</v>
      </c>
    </row>
    <row r="5" spans="1:12" x14ac:dyDescent="0.25">
      <c r="A5" s="16">
        <v>44541</v>
      </c>
      <c r="B5" s="15" t="s">
        <v>185</v>
      </c>
      <c r="C5" s="17">
        <v>3</v>
      </c>
      <c r="D5" s="15">
        <v>72</v>
      </c>
      <c r="E5" s="18">
        <v>2</v>
      </c>
      <c r="F5" s="18">
        <v>59</v>
      </c>
      <c r="G5" s="15">
        <f t="shared" si="0"/>
        <v>179</v>
      </c>
      <c r="H5" s="19">
        <f t="shared" si="1"/>
        <v>24.134078212290504</v>
      </c>
      <c r="I5" s="19">
        <v>404</v>
      </c>
      <c r="J5" s="15"/>
      <c r="K5" s="3">
        <v>72</v>
      </c>
      <c r="L5" s="3"/>
    </row>
    <row r="6" spans="1:12" s="56" customFormat="1" x14ac:dyDescent="0.25">
      <c r="A6" s="50">
        <v>44544</v>
      </c>
      <c r="B6" s="51" t="s">
        <v>187</v>
      </c>
      <c r="C6" s="52">
        <v>4</v>
      </c>
      <c r="D6" s="51">
        <v>60</v>
      </c>
      <c r="E6" s="53">
        <v>2</v>
      </c>
      <c r="F6" s="53">
        <v>36</v>
      </c>
      <c r="G6" s="51">
        <f t="shared" si="0"/>
        <v>156</v>
      </c>
      <c r="H6" s="54">
        <f t="shared" si="1"/>
        <v>23.076923076923077</v>
      </c>
      <c r="I6" s="54">
        <v>193</v>
      </c>
      <c r="J6" s="51"/>
      <c r="K6" s="3"/>
      <c r="L6" s="3">
        <v>60</v>
      </c>
    </row>
    <row r="7" spans="1:12" s="56" customFormat="1" x14ac:dyDescent="0.25">
      <c r="A7" s="50">
        <v>44546</v>
      </c>
      <c r="B7" s="51" t="s">
        <v>188</v>
      </c>
      <c r="C7" s="52">
        <v>5</v>
      </c>
      <c r="D7" s="51">
        <v>81</v>
      </c>
      <c r="E7" s="53">
        <v>3</v>
      </c>
      <c r="F7" s="53">
        <v>17</v>
      </c>
      <c r="G7" s="51">
        <f t="shared" si="0"/>
        <v>197</v>
      </c>
      <c r="H7" s="54">
        <f t="shared" si="1"/>
        <v>24.670050761421322</v>
      </c>
      <c r="I7" s="54">
        <v>248</v>
      </c>
      <c r="J7" s="51"/>
      <c r="K7" s="3"/>
      <c r="L7" s="3">
        <v>81</v>
      </c>
    </row>
    <row r="8" spans="1:12" s="56" customFormat="1" x14ac:dyDescent="0.25">
      <c r="A8" s="50">
        <v>44548</v>
      </c>
      <c r="B8" s="51" t="s">
        <v>189</v>
      </c>
      <c r="C8" s="52">
        <v>6</v>
      </c>
      <c r="D8" s="51">
        <v>71</v>
      </c>
      <c r="E8" s="53">
        <v>2</v>
      </c>
      <c r="F8" s="53">
        <v>57</v>
      </c>
      <c r="G8" s="51">
        <f t="shared" si="0"/>
        <v>177</v>
      </c>
      <c r="H8" s="54">
        <f t="shared" si="1"/>
        <v>24.067796610169491</v>
      </c>
      <c r="I8" s="54">
        <v>263</v>
      </c>
      <c r="J8" s="51"/>
      <c r="K8" s="3"/>
      <c r="L8" s="3">
        <v>71</v>
      </c>
    </row>
    <row r="9" spans="1:12" s="56" customFormat="1" x14ac:dyDescent="0.25">
      <c r="A9" s="50">
        <v>44558</v>
      </c>
      <c r="B9" s="52" t="s">
        <v>190</v>
      </c>
      <c r="C9" s="52">
        <v>7</v>
      </c>
      <c r="D9" s="51">
        <v>75</v>
      </c>
      <c r="E9" s="53">
        <v>3</v>
      </c>
      <c r="F9" s="53">
        <v>11</v>
      </c>
      <c r="G9" s="51">
        <f t="shared" si="0"/>
        <v>191</v>
      </c>
      <c r="H9" s="54">
        <f t="shared" si="1"/>
        <v>23.560209424083773</v>
      </c>
      <c r="I9" s="54">
        <v>293</v>
      </c>
      <c r="J9" s="51"/>
      <c r="K9" s="6"/>
      <c r="L9" s="3">
        <v>75</v>
      </c>
    </row>
    <row r="10" spans="1:12" s="56" customFormat="1" x14ac:dyDescent="0.25">
      <c r="A10" s="50">
        <v>44560</v>
      </c>
      <c r="B10" s="51" t="s">
        <v>191</v>
      </c>
      <c r="C10" s="52">
        <v>8</v>
      </c>
      <c r="D10" s="51">
        <v>101</v>
      </c>
      <c r="E10" s="53">
        <v>4</v>
      </c>
      <c r="F10" s="53">
        <v>14</v>
      </c>
      <c r="G10" s="51">
        <f t="shared" si="0"/>
        <v>254</v>
      </c>
      <c r="H10" s="54">
        <f t="shared" si="1"/>
        <v>23.858267716535433</v>
      </c>
      <c r="I10" s="55">
        <v>445</v>
      </c>
      <c r="J10" s="52"/>
      <c r="K10" s="3"/>
      <c r="L10" s="3">
        <v>101</v>
      </c>
    </row>
    <row r="11" spans="1:12" s="56" customFormat="1" x14ac:dyDescent="0.25">
      <c r="A11" s="50"/>
      <c r="B11" s="51"/>
      <c r="C11" s="52">
        <v>9</v>
      </c>
      <c r="D11" s="51"/>
      <c r="E11" s="53"/>
      <c r="F11" s="53"/>
      <c r="G11" s="51">
        <f t="shared" si="0"/>
        <v>0</v>
      </c>
      <c r="H11" s="54" t="e">
        <f t="shared" si="1"/>
        <v>#DIV/0!</v>
      </c>
      <c r="I11" s="54"/>
      <c r="J11" s="51"/>
      <c r="K11" s="3"/>
      <c r="L11" s="3"/>
    </row>
    <row r="12" spans="1:12" s="56" customFormat="1" x14ac:dyDescent="0.25">
      <c r="A12" s="50"/>
      <c r="B12" s="51"/>
      <c r="C12" s="52">
        <v>10</v>
      </c>
      <c r="D12" s="51"/>
      <c r="E12" s="53"/>
      <c r="F12" s="53"/>
      <c r="G12" s="51">
        <f t="shared" si="0"/>
        <v>0</v>
      </c>
      <c r="H12" s="54" t="e">
        <f t="shared" si="1"/>
        <v>#DIV/0!</v>
      </c>
      <c r="I12" s="54"/>
      <c r="J12" s="51"/>
      <c r="K12" s="3"/>
      <c r="L12" s="3"/>
    </row>
    <row r="13" spans="1:12" x14ac:dyDescent="0.25">
      <c r="A13" s="5"/>
      <c r="B13" s="3"/>
      <c r="C13" s="8">
        <v>11</v>
      </c>
      <c r="D13" s="3"/>
      <c r="E13" s="6"/>
      <c r="F13" s="6"/>
      <c r="G13" s="3">
        <f t="shared" si="0"/>
        <v>0</v>
      </c>
      <c r="H13" s="4" t="e">
        <f t="shared" si="1"/>
        <v>#DIV/0!</v>
      </c>
      <c r="I13" s="4"/>
      <c r="J13" s="3"/>
      <c r="K13" s="3"/>
      <c r="L13" s="3"/>
    </row>
    <row r="14" spans="1:12" x14ac:dyDescent="0.25">
      <c r="A14" s="5"/>
      <c r="B14" s="3"/>
      <c r="C14" s="8">
        <v>12</v>
      </c>
      <c r="D14" s="3"/>
      <c r="E14" s="6"/>
      <c r="F14" s="6"/>
      <c r="G14" s="3">
        <f t="shared" si="0"/>
        <v>0</v>
      </c>
      <c r="H14" s="4" t="e">
        <f t="shared" si="1"/>
        <v>#DIV/0!</v>
      </c>
      <c r="I14" s="4"/>
      <c r="J14" s="3"/>
      <c r="K14" s="3"/>
      <c r="L14" s="3"/>
    </row>
    <row r="15" spans="1:12" x14ac:dyDescent="0.25">
      <c r="A15" s="5"/>
      <c r="B15" s="3"/>
      <c r="C15" s="8">
        <v>13</v>
      </c>
      <c r="D15" s="3"/>
      <c r="E15" s="6"/>
      <c r="F15" s="6"/>
      <c r="G15" s="3">
        <f t="shared" si="0"/>
        <v>0</v>
      </c>
      <c r="H15" s="4" t="e">
        <f t="shared" si="1"/>
        <v>#DIV/0!</v>
      </c>
      <c r="I15" s="4"/>
      <c r="J15" s="3"/>
      <c r="K15" s="3"/>
      <c r="L15" s="3"/>
    </row>
    <row r="16" spans="1:12" x14ac:dyDescent="0.25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4"/>
      <c r="J16" s="3"/>
      <c r="K16" s="3"/>
      <c r="L16" s="3"/>
    </row>
    <row r="17" spans="1:12" x14ac:dyDescent="0.25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4"/>
      <c r="J17" s="3"/>
      <c r="K17" s="3"/>
      <c r="L17" s="3"/>
    </row>
    <row r="18" spans="1:12" x14ac:dyDescent="0.25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  <c r="K18" s="3"/>
      <c r="L18" s="3"/>
    </row>
    <row r="19" spans="1:12" x14ac:dyDescent="0.25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  <c r="K19" s="3"/>
      <c r="L19" s="3"/>
    </row>
    <row r="20" spans="1:12" x14ac:dyDescent="0.25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  <c r="K20" s="3"/>
      <c r="L20" s="3"/>
    </row>
    <row r="21" spans="1:12" x14ac:dyDescent="0.25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  <c r="K21" s="3"/>
      <c r="L21" s="3"/>
    </row>
    <row r="22" spans="1:12" x14ac:dyDescent="0.25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  <c r="K22" s="3"/>
      <c r="L22" s="3"/>
    </row>
    <row r="23" spans="1:12" x14ac:dyDescent="0.25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  <c r="K23" s="3"/>
      <c r="L23" s="3"/>
    </row>
    <row r="24" spans="1:12" x14ac:dyDescent="0.25">
      <c r="D24">
        <f>SUM(D3:D23)</f>
        <v>627</v>
      </c>
      <c r="I24" s="2">
        <f>SUM(I3:I23)</f>
        <v>2570</v>
      </c>
      <c r="K24" s="34"/>
      <c r="L24" s="34"/>
    </row>
    <row r="25" spans="1:12" x14ac:dyDescent="0.25">
      <c r="B25">
        <f>SUM(Nov!B25+Déc!D24)</f>
        <v>12512</v>
      </c>
      <c r="H25" s="2">
        <f>SUM(Nov!H25+Déc!I24)</f>
        <v>60606</v>
      </c>
      <c r="K25" s="34"/>
      <c r="L25" s="34"/>
    </row>
    <row r="26" spans="1:12" x14ac:dyDescent="0.25">
      <c r="K26" s="34"/>
      <c r="L26" s="34"/>
    </row>
    <row r="27" spans="1:12" x14ac:dyDescent="0.25">
      <c r="K27" s="34"/>
      <c r="L27" s="34"/>
    </row>
    <row r="28" spans="1:12" x14ac:dyDescent="0.25">
      <c r="K28" s="34"/>
      <c r="L28" s="34"/>
    </row>
    <row r="29" spans="1:12" x14ac:dyDescent="0.25">
      <c r="K29">
        <f>SUM(K3:K28)</f>
        <v>72</v>
      </c>
      <c r="L29">
        <f>SUM(L3:L28)</f>
        <v>555</v>
      </c>
    </row>
    <row r="30" spans="1:12" x14ac:dyDescent="0.25">
      <c r="K30">
        <f>SUM(Nov!K30+Déc!K29)</f>
        <v>1843.5</v>
      </c>
      <c r="L30">
        <f>SUM(Nov!L30+Déc!L29)</f>
        <v>9688</v>
      </c>
    </row>
  </sheetData>
  <mergeCells count="2">
    <mergeCell ref="E2:G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</vt:lpstr>
      <vt:lpstr>Fév</vt:lpstr>
      <vt:lpstr>Mar</vt:lpstr>
      <vt:lpstr>Avr</vt:lpstr>
      <vt:lpstr>Mai</vt:lpstr>
      <vt:lpstr>Juin</vt:lpstr>
      <vt:lpstr>Juil</vt:lpstr>
      <vt:lpstr>Aout</vt:lpstr>
      <vt:lpstr>Sept</vt:lpstr>
      <vt:lpstr>Oct</vt:lpstr>
      <vt:lpstr>Nov</vt:lpstr>
      <vt:lpstr>Déc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</dc:creator>
  <cp:lastModifiedBy>patri</cp:lastModifiedBy>
  <dcterms:created xsi:type="dcterms:W3CDTF">2015-01-07T20:15:24Z</dcterms:created>
  <dcterms:modified xsi:type="dcterms:W3CDTF">2021-12-30T17:40:25Z</dcterms:modified>
</cp:coreProperties>
</file>