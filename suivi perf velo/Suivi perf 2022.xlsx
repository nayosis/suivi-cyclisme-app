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tri\Documents\Cyclo\suiviPerf\"/>
    </mc:Choice>
  </mc:AlternateContent>
  <xr:revisionPtr revIDLastSave="0" documentId="13_ncr:1_{BF5384A2-299D-4630-A0B8-891DF986501F}" xr6:coauthVersionLast="47" xr6:coauthVersionMax="47" xr10:uidLastSave="{00000000-0000-0000-0000-000000000000}"/>
  <bookViews>
    <workbookView xWindow="17235" yWindow="2100" windowWidth="11565" windowHeight="13500" firstSheet="5" activeTab="11" xr2:uid="{00000000-000D-0000-FFFF-FFFF00000000}"/>
  </bookViews>
  <sheets>
    <sheet name="Janv" sheetId="1" r:id="rId1"/>
    <sheet name="Fév" sheetId="2" r:id="rId2"/>
    <sheet name="Mar" sheetId="3" r:id="rId3"/>
    <sheet name="Avr" sheetId="4" r:id="rId4"/>
    <sheet name="Mai" sheetId="5" r:id="rId5"/>
    <sheet name="Juin" sheetId="6" r:id="rId6"/>
    <sheet name="Juil" sheetId="7" r:id="rId7"/>
    <sheet name="Aout" sheetId="8" r:id="rId8"/>
    <sheet name="Sept" sheetId="9" r:id="rId9"/>
    <sheet name="Oct" sheetId="10" r:id="rId10"/>
    <sheet name="Nov" sheetId="11" r:id="rId11"/>
    <sheet name="Déc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4" i="12" l="1"/>
  <c r="K24" i="12"/>
  <c r="L24" i="11"/>
  <c r="K24" i="11"/>
  <c r="L24" i="10"/>
  <c r="K24" i="10"/>
  <c r="L24" i="9"/>
  <c r="K24" i="9"/>
  <c r="L24" i="8"/>
  <c r="K24" i="8"/>
  <c r="L26" i="7"/>
  <c r="K26" i="7"/>
  <c r="I26" i="7"/>
  <c r="D26" i="7"/>
  <c r="G27" i="6"/>
  <c r="H27" i="6" s="1"/>
  <c r="G26" i="6"/>
  <c r="H26" i="6" s="1"/>
  <c r="G25" i="6"/>
  <c r="H25" i="6" s="1"/>
  <c r="G24" i="6"/>
  <c r="H24" i="6" s="1"/>
  <c r="G23" i="6"/>
  <c r="H23" i="6" s="1"/>
  <c r="G9" i="6"/>
  <c r="L29" i="6"/>
  <c r="K29" i="6"/>
  <c r="L24" i="5"/>
  <c r="K24" i="5"/>
  <c r="L24" i="4"/>
  <c r="K24" i="4"/>
  <c r="L24" i="3"/>
  <c r="K24" i="3"/>
  <c r="L24" i="2"/>
  <c r="K24" i="2"/>
  <c r="K25" i="2" s="1"/>
  <c r="K28" i="2" s="1"/>
  <c r="L24" i="1"/>
  <c r="L27" i="1" s="1"/>
  <c r="K24" i="1"/>
  <c r="K27" i="1" s="1"/>
  <c r="L25" i="2" l="1"/>
  <c r="K25" i="3"/>
  <c r="G3" i="10"/>
  <c r="K25" i="4" l="1"/>
  <c r="K28" i="3"/>
  <c r="L25" i="3"/>
  <c r="L28" i="2"/>
  <c r="G21" i="7"/>
  <c r="K25" i="5" l="1"/>
  <c r="K28" i="4"/>
  <c r="L25" i="4"/>
  <c r="L28" i="3"/>
  <c r="G12" i="8"/>
  <c r="H12" i="8" s="1"/>
  <c r="G7" i="8"/>
  <c r="H7" i="8" s="1"/>
  <c r="G24" i="7"/>
  <c r="H24" i="7" s="1"/>
  <c r="G23" i="7"/>
  <c r="H23" i="7" s="1"/>
  <c r="G11" i="7"/>
  <c r="H11" i="7" s="1"/>
  <c r="G10" i="7"/>
  <c r="H10" i="7" s="1"/>
  <c r="I24" i="11"/>
  <c r="I24" i="10"/>
  <c r="I24" i="9"/>
  <c r="I24" i="8"/>
  <c r="I29" i="6"/>
  <c r="I24" i="5"/>
  <c r="I24" i="4"/>
  <c r="I24" i="3"/>
  <c r="I24" i="2"/>
  <c r="I24" i="1"/>
  <c r="H25" i="1" s="1"/>
  <c r="I24" i="12"/>
  <c r="H1" i="12"/>
  <c r="H1" i="11"/>
  <c r="H1" i="10"/>
  <c r="H1" i="9"/>
  <c r="H1" i="8"/>
  <c r="H1" i="7"/>
  <c r="H1" i="6"/>
  <c r="H1" i="4"/>
  <c r="H1" i="5"/>
  <c r="H1" i="3"/>
  <c r="H1" i="2"/>
  <c r="G3" i="5"/>
  <c r="H3" i="5" s="1"/>
  <c r="G4" i="5"/>
  <c r="H4" i="5" s="1"/>
  <c r="G5" i="5"/>
  <c r="H5" i="5" s="1"/>
  <c r="G6" i="5"/>
  <c r="H6" i="5" s="1"/>
  <c r="G7" i="5"/>
  <c r="H7" i="5" s="1"/>
  <c r="G8" i="5"/>
  <c r="H8" i="5" s="1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G22" i="5"/>
  <c r="H22" i="5" s="1"/>
  <c r="G23" i="5"/>
  <c r="H23" i="5" s="1"/>
  <c r="G3" i="12"/>
  <c r="H3" i="12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6" i="11"/>
  <c r="H16" i="11" s="1"/>
  <c r="G22" i="8"/>
  <c r="G21" i="8"/>
  <c r="H21" i="8" s="1"/>
  <c r="G20" i="8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1" i="8"/>
  <c r="H11" i="8" s="1"/>
  <c r="G10" i="8"/>
  <c r="H10" i="8" s="1"/>
  <c r="G9" i="8"/>
  <c r="H9" i="8" s="1"/>
  <c r="G8" i="8"/>
  <c r="H8" i="8" s="1"/>
  <c r="G6" i="8"/>
  <c r="H6" i="8" s="1"/>
  <c r="G5" i="8"/>
  <c r="H5" i="8" s="1"/>
  <c r="G4" i="8"/>
  <c r="H4" i="8" s="1"/>
  <c r="G3" i="8"/>
  <c r="H3" i="8" s="1"/>
  <c r="G22" i="7"/>
  <c r="H22" i="7" s="1"/>
  <c r="G20" i="6"/>
  <c r="H20" i="6" s="1"/>
  <c r="G19" i="6"/>
  <c r="H19" i="6" s="1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H9" i="6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G13" i="4"/>
  <c r="H13" i="4" s="1"/>
  <c r="G3" i="1"/>
  <c r="H3" i="1" s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2" i="11"/>
  <c r="H12" i="11" s="1"/>
  <c r="G9" i="9"/>
  <c r="H9" i="9" s="1"/>
  <c r="G7" i="9"/>
  <c r="H7" i="9" s="1"/>
  <c r="G6" i="9"/>
  <c r="H6" i="9" s="1"/>
  <c r="G8" i="4"/>
  <c r="H8" i="4" s="1"/>
  <c r="D24" i="12"/>
  <c r="G23" i="12"/>
  <c r="H23" i="12" s="1"/>
  <c r="G22" i="12"/>
  <c r="H22" i="12" s="1"/>
  <c r="G21" i="12"/>
  <c r="H21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D24" i="11"/>
  <c r="G23" i="11"/>
  <c r="H23" i="11" s="1"/>
  <c r="G22" i="11"/>
  <c r="H22" i="11" s="1"/>
  <c r="G21" i="11"/>
  <c r="H21" i="11" s="1"/>
  <c r="G20" i="11"/>
  <c r="H20" i="11" s="1"/>
  <c r="G19" i="11"/>
  <c r="H19" i="11" s="1"/>
  <c r="G18" i="11"/>
  <c r="H18" i="11" s="1"/>
  <c r="G17" i="11"/>
  <c r="H17" i="11" s="1"/>
  <c r="G15" i="11"/>
  <c r="H15" i="11" s="1"/>
  <c r="G14" i="11"/>
  <c r="H14" i="11" s="1"/>
  <c r="G13" i="11"/>
  <c r="H13" i="11" s="1"/>
  <c r="G11" i="11"/>
  <c r="H11" i="11" s="1"/>
  <c r="G10" i="11"/>
  <c r="H10" i="11" s="1"/>
  <c r="G9" i="11"/>
  <c r="H9" i="11" s="1"/>
  <c r="G8" i="11"/>
  <c r="H8" i="11" s="1"/>
  <c r="G7" i="11"/>
  <c r="H7" i="11" s="1"/>
  <c r="G6" i="11"/>
  <c r="H6" i="11" s="1"/>
  <c r="G5" i="11"/>
  <c r="H5" i="11" s="1"/>
  <c r="G4" i="11"/>
  <c r="H4" i="11" s="1"/>
  <c r="G3" i="11"/>
  <c r="H3" i="11" s="1"/>
  <c r="D24" i="10"/>
  <c r="G23" i="10"/>
  <c r="H23" i="10" s="1"/>
  <c r="G22" i="10"/>
  <c r="H22" i="10" s="1"/>
  <c r="G21" i="10"/>
  <c r="H21" i="10" s="1"/>
  <c r="G20" i="10"/>
  <c r="H20" i="10" s="1"/>
  <c r="G19" i="10"/>
  <c r="H19" i="10" s="1"/>
  <c r="G18" i="10"/>
  <c r="H18" i="10" s="1"/>
  <c r="G17" i="10"/>
  <c r="H17" i="10" s="1"/>
  <c r="G16" i="10"/>
  <c r="H16" i="10" s="1"/>
  <c r="G15" i="10"/>
  <c r="H15" i="10" s="1"/>
  <c r="G14" i="10"/>
  <c r="H14" i="10" s="1"/>
  <c r="G13" i="10"/>
  <c r="H13" i="10" s="1"/>
  <c r="G12" i="10"/>
  <c r="H12" i="10" s="1"/>
  <c r="G11" i="10"/>
  <c r="H11" i="10" s="1"/>
  <c r="G10" i="10"/>
  <c r="H10" i="10" s="1"/>
  <c r="G9" i="10"/>
  <c r="H9" i="10" s="1"/>
  <c r="G8" i="10"/>
  <c r="H8" i="10" s="1"/>
  <c r="G7" i="10"/>
  <c r="H7" i="10" s="1"/>
  <c r="G6" i="10"/>
  <c r="H6" i="10" s="1"/>
  <c r="G5" i="10"/>
  <c r="H5" i="10" s="1"/>
  <c r="G4" i="10"/>
  <c r="H4" i="10" s="1"/>
  <c r="H3" i="10"/>
  <c r="D24" i="9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8" i="9"/>
  <c r="H8" i="9" s="1"/>
  <c r="G5" i="9"/>
  <c r="H5" i="9" s="1"/>
  <c r="G4" i="9"/>
  <c r="H4" i="9" s="1"/>
  <c r="G3" i="9"/>
  <c r="H3" i="9" s="1"/>
  <c r="D25" i="8"/>
  <c r="G23" i="8"/>
  <c r="H23" i="8" s="1"/>
  <c r="H22" i="8"/>
  <c r="H20" i="8"/>
  <c r="G25" i="7"/>
  <c r="H25" i="7" s="1"/>
  <c r="H21" i="7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9" i="7"/>
  <c r="H9" i="7" s="1"/>
  <c r="G8" i="7"/>
  <c r="H8" i="7" s="1"/>
  <c r="G7" i="7"/>
  <c r="H7" i="7" s="1"/>
  <c r="G6" i="7"/>
  <c r="H6" i="7" s="1"/>
  <c r="G5" i="7"/>
  <c r="H5" i="7" s="1"/>
  <c r="G4" i="7"/>
  <c r="H4" i="7" s="1"/>
  <c r="G3" i="7"/>
  <c r="H3" i="7" s="1"/>
  <c r="D29" i="6"/>
  <c r="G28" i="6"/>
  <c r="H28" i="6" s="1"/>
  <c r="G22" i="6"/>
  <c r="H22" i="6" s="1"/>
  <c r="G21" i="6"/>
  <c r="H21" i="6" s="1"/>
  <c r="D24" i="5"/>
  <c r="H21" i="5"/>
  <c r="D24" i="4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H9" i="4" s="1"/>
  <c r="G7" i="4"/>
  <c r="H7" i="4" s="1"/>
  <c r="G6" i="4"/>
  <c r="H6" i="4" s="1"/>
  <c r="G5" i="4"/>
  <c r="H5" i="4" s="1"/>
  <c r="G4" i="4"/>
  <c r="H4" i="4" s="1"/>
  <c r="G3" i="4"/>
  <c r="H3" i="4" s="1"/>
  <c r="G23" i="1"/>
  <c r="H23" i="1" s="1"/>
  <c r="D24" i="3"/>
  <c r="G23" i="3"/>
  <c r="H23" i="3" s="1"/>
  <c r="G22" i="3"/>
  <c r="H22" i="3" s="1"/>
  <c r="G21" i="3"/>
  <c r="H21" i="3" s="1"/>
  <c r="G20" i="3"/>
  <c r="H20" i="3" s="1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G13" i="3"/>
  <c r="H13" i="3" s="1"/>
  <c r="G12" i="3"/>
  <c r="H12" i="3" s="1"/>
  <c r="G11" i="3"/>
  <c r="H11" i="3" s="1"/>
  <c r="G10" i="3"/>
  <c r="H10" i="3" s="1"/>
  <c r="G9" i="3"/>
  <c r="H9" i="3" s="1"/>
  <c r="G8" i="3"/>
  <c r="H8" i="3" s="1"/>
  <c r="G7" i="3"/>
  <c r="H7" i="3" s="1"/>
  <c r="G6" i="3"/>
  <c r="H6" i="3" s="1"/>
  <c r="G5" i="3"/>
  <c r="H5" i="3" s="1"/>
  <c r="G4" i="3"/>
  <c r="H4" i="3" s="1"/>
  <c r="G3" i="3"/>
  <c r="H3" i="3" s="1"/>
  <c r="D24" i="2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D24" i="1"/>
  <c r="B25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K30" i="6" l="1"/>
  <c r="K28" i="5"/>
  <c r="L25" i="5"/>
  <c r="L28" i="4"/>
  <c r="H25" i="2"/>
  <c r="H25" i="3" s="1"/>
  <c r="H25" i="4" s="1"/>
  <c r="H25" i="5" s="1"/>
  <c r="H30" i="6" s="1"/>
  <c r="H27" i="7" s="1"/>
  <c r="H25" i="8" s="1"/>
  <c r="H25" i="9" s="1"/>
  <c r="H25" i="10" s="1"/>
  <c r="H25" i="11" s="1"/>
  <c r="H25" i="12" s="1"/>
  <c r="B25" i="2"/>
  <c r="B25" i="3" s="1"/>
  <c r="B25" i="4" s="1"/>
  <c r="B25" i="5" s="1"/>
  <c r="B30" i="6" s="1"/>
  <c r="B27" i="7" s="1"/>
  <c r="B26" i="8" s="1"/>
  <c r="B25" i="9" s="1"/>
  <c r="B25" i="10" s="1"/>
  <c r="B25" i="11" s="1"/>
  <c r="B25" i="12" s="1"/>
  <c r="K33" i="6" l="1"/>
  <c r="K27" i="7"/>
  <c r="L30" i="6"/>
  <c r="L28" i="5"/>
  <c r="K30" i="7" l="1"/>
  <c r="K25" i="8"/>
  <c r="L33" i="6"/>
  <c r="L27" i="7"/>
  <c r="K28" i="8" l="1"/>
  <c r="K25" i="9"/>
  <c r="L25" i="8"/>
  <c r="L30" i="7"/>
  <c r="K28" i="9" l="1"/>
  <c r="K25" i="10"/>
  <c r="L28" i="8"/>
  <c r="L25" i="9"/>
  <c r="K28" i="10" l="1"/>
  <c r="K25" i="11"/>
  <c r="L25" i="10"/>
  <c r="L28" i="9"/>
  <c r="K25" i="12" l="1"/>
  <c r="K28" i="12" s="1"/>
  <c r="K28" i="11"/>
  <c r="L28" i="10"/>
  <c r="L25" i="11"/>
  <c r="L28" i="11" l="1"/>
  <c r="L25" i="12"/>
  <c r="L28" i="12" s="1"/>
</calcChain>
</file>

<file path=xl/sharedStrings.xml><?xml version="1.0" encoding="utf-8"?>
<sst xmlns="http://schemas.openxmlformats.org/spreadsheetml/2006/main" count="330" uniqueCount="154">
  <si>
    <t>Dates</t>
  </si>
  <si>
    <t>Désignation Sorties</t>
  </si>
  <si>
    <t>Distances</t>
  </si>
  <si>
    <t>Durées</t>
  </si>
  <si>
    <t>Vit. Moy.</t>
  </si>
  <si>
    <t>Remarques</t>
  </si>
  <si>
    <t>Nb</t>
  </si>
  <si>
    <t xml:space="preserve">Suivi Performances Janvier </t>
  </si>
  <si>
    <t>Suivi Performances Février</t>
  </si>
  <si>
    <t xml:space="preserve">Suivi Performances Mars </t>
  </si>
  <si>
    <t xml:space="preserve">Suivi Performances Avril </t>
  </si>
  <si>
    <t xml:space="preserve">Suivi Performances Mai </t>
  </si>
  <si>
    <t xml:space="preserve">Suivi Performances Juin </t>
  </si>
  <si>
    <t>Suivi Performances Juillet</t>
  </si>
  <si>
    <t xml:space="preserve">Suivi Performances Août </t>
  </si>
  <si>
    <t>Suivi Performances Septembre</t>
  </si>
  <si>
    <t xml:space="preserve">Suivi Performances Octobre </t>
  </si>
  <si>
    <t xml:space="preserve">Suivi Performances Novembre </t>
  </si>
  <si>
    <t xml:space="preserve">Suivi Performances Décembre </t>
  </si>
  <si>
    <t>Dév +</t>
  </si>
  <si>
    <t>Brochard</t>
  </si>
  <si>
    <t>S1NEO</t>
  </si>
  <si>
    <t>Chinon Curçay Roiffé</t>
  </si>
  <si>
    <t>Avoine Bournand Brézé</t>
  </si>
  <si>
    <t>Année 2021</t>
  </si>
  <si>
    <t>KM total</t>
  </si>
  <si>
    <t>Km total 2022</t>
  </si>
  <si>
    <t>Chinon Lignière Azay Nueil Cravant</t>
  </si>
  <si>
    <t>Chinon Lignière Bréhémont</t>
  </si>
  <si>
    <t>Chinon Benais ingrandes</t>
  </si>
  <si>
    <t>Avoine La Rouchouze</t>
  </si>
  <si>
    <t>Chinon Courléon Gizeux Benais</t>
  </si>
  <si>
    <t>Chinon Langeais Ingrandes</t>
  </si>
  <si>
    <t>Balade Useab</t>
  </si>
  <si>
    <t>Avoine Saumur Vivy Brain</t>
  </si>
  <si>
    <t>Chinon  Vallée du Courtineau</t>
  </si>
  <si>
    <t>Avoine Vivy après COVID</t>
  </si>
  <si>
    <t>Avoine Chacé Bournand</t>
  </si>
  <si>
    <t>Chinon saumur Vivy Brain</t>
  </si>
  <si>
    <t>Avoine Bréhémont Vallère Azay St Benoit</t>
  </si>
  <si>
    <t>Avoine Balade USEAB</t>
  </si>
  <si>
    <t>Montsoreau Parçay Auverse Blou</t>
  </si>
  <si>
    <t>Chinon Richelieu Marigny IB</t>
  </si>
  <si>
    <t>Chinon Epennes Claunay</t>
  </si>
  <si>
    <t>Avoine La Breille Blou Allonnes</t>
  </si>
  <si>
    <t>Avoine Balade Useab</t>
  </si>
  <si>
    <t>Rencontre de Printemps Bourgueil</t>
  </si>
  <si>
    <t>Chinon 3 Moutiers Mouterre Ceaux</t>
  </si>
  <si>
    <t>Chinon Chaintre Courchamp Montreuil</t>
  </si>
  <si>
    <t>Complément Blocage GPS</t>
  </si>
  <si>
    <t>Avoine Ceaux Epennes Seuilly</t>
  </si>
  <si>
    <t>Avoine balade Useab</t>
  </si>
  <si>
    <t>chinon Mont Guesnes Pouant</t>
  </si>
  <si>
    <t>Avoine Courléon Hommes Ingrandes</t>
  </si>
  <si>
    <t>Avoine Saché</t>
  </si>
  <si>
    <t>Rando 150 prépa BRM 200</t>
  </si>
  <si>
    <t>Chinon Azay Saché St Epain</t>
  </si>
  <si>
    <t>Avoine Avrillé Langeais</t>
  </si>
  <si>
    <t>Chinon Ranton Mayé Roiffé</t>
  </si>
  <si>
    <t>BRM 200 Angers</t>
  </si>
  <si>
    <t>Chinon 3 Moutiers Curçay Saix</t>
  </si>
  <si>
    <t>Avoine Vernoil St Philbert Allonnes</t>
  </si>
  <si>
    <t>Chinon Curçay Douvy Couziers</t>
  </si>
  <si>
    <t>Chinon Courtineau</t>
  </si>
  <si>
    <t>Chinon Audax 100</t>
  </si>
  <si>
    <t>Angers BRM 300</t>
  </si>
  <si>
    <t>Avoine Langeais Hommes</t>
  </si>
  <si>
    <t>Avoine Gizeux Langeais</t>
  </si>
  <si>
    <t>Chinon Rillé</t>
  </si>
  <si>
    <t>Accompagnement Monlérienne</t>
  </si>
  <si>
    <t>Avoine St philbert Vernoil</t>
  </si>
  <si>
    <t>Avoine Essai tamdem</t>
  </si>
  <si>
    <t>Tandem</t>
  </si>
  <si>
    <t>Prépa BRM 400</t>
  </si>
  <si>
    <t>BRM 400 Angers</t>
  </si>
  <si>
    <t>Chinon Langeais Avrillé Gizeux</t>
  </si>
  <si>
    <t>Carhaix Plougasnou</t>
  </si>
  <si>
    <t>Rando Finistère</t>
  </si>
  <si>
    <t>Plougasnou Plouescat</t>
  </si>
  <si>
    <t>Plouescat Plouarzel</t>
  </si>
  <si>
    <t>Plouarzel Logonna Daoulas</t>
  </si>
  <si>
    <t>Logonna Daoulas Camaret sur Mer</t>
  </si>
  <si>
    <t>Camaret Douarnenez</t>
  </si>
  <si>
    <t>Douarnenez Treguennec</t>
  </si>
  <si>
    <t>Treguennec tregunc</t>
  </si>
  <si>
    <t>Trégunc Carhaix</t>
  </si>
  <si>
    <t>Chinon IB Nouatre St Epain Azay</t>
  </si>
  <si>
    <t>Avoine Ceaux Loudun 3 Moutiers</t>
  </si>
  <si>
    <t>Chinon Saumur Meigné coudray</t>
  </si>
  <si>
    <t>Chinon Chacé Montreuil</t>
  </si>
  <si>
    <t>Aubusson Château de Mauzun</t>
  </si>
  <si>
    <t>Aubusson col de Béal</t>
  </si>
  <si>
    <t>Aubusson Olliergues</t>
  </si>
  <si>
    <t>Aubusson Cols desBois Noirs</t>
  </si>
  <si>
    <t>Séjour USEAB</t>
  </si>
  <si>
    <t>Avoine Panzoult nueil Druye</t>
  </si>
  <si>
    <t>Avoine Epieds Curçay 3 Moutiers</t>
  </si>
  <si>
    <t>Montsoreau loire à vélo</t>
  </si>
  <si>
    <t>Chinon Courléon Hommes Ingrandes</t>
  </si>
  <si>
    <t>Chinon 5 Mars Les Essards</t>
  </si>
  <si>
    <t>Avoine Cléré Langeais</t>
  </si>
  <si>
    <t>Chinon Ussé Vallère Langeais</t>
  </si>
  <si>
    <t>Saumur</t>
  </si>
  <si>
    <t>Avoine Azay</t>
  </si>
  <si>
    <t>Chinon Panzoult Azay</t>
  </si>
  <si>
    <t>Chinon Vallère Langeais Benais</t>
  </si>
  <si>
    <t>En Vtt avec Evelyne</t>
  </si>
  <si>
    <t>Rando Mont St Michel 1</t>
  </si>
  <si>
    <t>Rando Mont St Michel 2</t>
  </si>
  <si>
    <t>Rando Mont St Michel 3</t>
  </si>
  <si>
    <t>Rando Mont St Michel 4</t>
  </si>
  <si>
    <t>Rando Mont St Michel R8</t>
  </si>
  <si>
    <t>Rando Mont St Michel 7</t>
  </si>
  <si>
    <t>Rando Mont St Michel 6</t>
  </si>
  <si>
    <t>Rando Mont St Michel 5</t>
  </si>
  <si>
    <t>Rando Mont St Michel R9</t>
  </si>
  <si>
    <t>Rando Mont St Michel R10</t>
  </si>
  <si>
    <t>Rando Mont St Michel R11</t>
  </si>
  <si>
    <t>Rando Mont St Michel R12</t>
  </si>
  <si>
    <t>Rando Mont St Michel R13</t>
  </si>
  <si>
    <t>Chinon Ingrandes Avrillé Bourgueil</t>
  </si>
  <si>
    <t>Chinon Neuillé Vernantes Courléon</t>
  </si>
  <si>
    <t>Avoine Chacé Monfort Vaudelnay</t>
  </si>
  <si>
    <t>Chinon IB Rilly Luzé</t>
  </si>
  <si>
    <t>Chinon Roiffé Curçay</t>
  </si>
  <si>
    <t>Avoine St Cyr Meigné Chacé</t>
  </si>
  <si>
    <t>Chinon Villeperdue Courtineau</t>
  </si>
  <si>
    <t>Avoine Courléon Avrillé Restigné</t>
  </si>
  <si>
    <t>Chinon Villeperdue Artannes Azay</t>
  </si>
  <si>
    <t xml:space="preserve">Avoine Balade Useab </t>
  </si>
  <si>
    <t>Avoine Fontevraud Chaintre</t>
  </si>
  <si>
    <t>Chinon Vivy Neuillé Les Loges</t>
  </si>
  <si>
    <t>Chinon 3 Moutiers Glenouze Rossay Ceaux</t>
  </si>
  <si>
    <t>Chinon Nueil courtineau St Epain</t>
  </si>
  <si>
    <t>Avoine Vernoil Blou</t>
  </si>
  <si>
    <t>Chinon Villandry saché crissay</t>
  </si>
  <si>
    <t>Chinon Lerné Couziers candes</t>
  </si>
  <si>
    <t>Chinon  Roiffé Ternay Epennes</t>
  </si>
  <si>
    <t>Avoine Ceaux Claunay Basses Bournand</t>
  </si>
  <si>
    <t>Chinon IB Marigny Richelieu</t>
  </si>
  <si>
    <t>Chinon Maulay Braye Courcoué</t>
  </si>
  <si>
    <t>Avoine Bournand Messemé Marçay</t>
  </si>
  <si>
    <t>Avoine Roiffé Raslay Brézé Chaintre</t>
  </si>
  <si>
    <t>Chinon Lerné Bournand Ceaux</t>
  </si>
  <si>
    <t>Avoine Saché  Crissay Cravant</t>
  </si>
  <si>
    <t>Avoine saumur Les Ulmes St Cyr</t>
  </si>
  <si>
    <t>Chinon Fontevraud Courchamps Montreuil</t>
  </si>
  <si>
    <t>,</t>
  </si>
  <si>
    <t>Avoine Marçay Rechelieu tour St Gelin</t>
  </si>
  <si>
    <t>Chinon Langeais Continvoir</t>
  </si>
  <si>
    <t>Chinon Cravant Saché Azay</t>
  </si>
  <si>
    <t>Avoine Bourgueil Les Essarts Langeais</t>
  </si>
  <si>
    <t>Chinon Panzoult Rivarennes Azay</t>
  </si>
  <si>
    <t>Avoine Cinay Candes Varennes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</si>
</sst>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14" fontId="0" fillId="0" borderId="2" xfId="0" applyNumberFormat="1" applyBorder="1"/>
    <xf numFmtId="0" fontId="0" fillId="0" borderId="2" xfId="0" applyBorder="1"/>
    <xf numFmtId="164" fontId="0" fillId="0" borderId="2" xfId="0" applyNumberFormat="1" applyBorder="1"/>
    <xf numFmtId="0" fontId="2" fillId="0" borderId="3" xfId="0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0" fontId="2" fillId="0" borderId="6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1" xfId="0" applyFont="1" applyBorder="1"/>
    <xf numFmtId="14" fontId="0" fillId="0" borderId="0" xfId="0" applyNumberFormat="1"/>
    <xf numFmtId="16" fontId="0" fillId="0" borderId="1" xfId="0" applyNumberFormat="1" applyBorder="1"/>
    <xf numFmtId="0" fontId="4" fillId="2" borderId="0" xfId="0" applyFont="1" applyFill="1"/>
    <xf numFmtId="0" fontId="0" fillId="0" borderId="9" xfId="0" applyBorder="1"/>
    <xf numFmtId="14" fontId="5" fillId="0" borderId="1" xfId="0" applyNumberFormat="1" applyFont="1" applyBorder="1"/>
    <xf numFmtId="0" fontId="5" fillId="0" borderId="2" xfId="0" applyFont="1" applyBorder="1"/>
    <xf numFmtId="0" fontId="5" fillId="0" borderId="1" xfId="0" applyFont="1" applyBorder="1"/>
    <xf numFmtId="164" fontId="5" fillId="0" borderId="1" xfId="0" applyNumberFormat="1" applyFont="1" applyBorder="1"/>
    <xf numFmtId="164" fontId="5" fillId="0" borderId="2" xfId="0" applyNumberFormat="1" applyFont="1" applyBorder="1"/>
    <xf numFmtId="0" fontId="5" fillId="0" borderId="0" xfId="0" applyFont="1"/>
    <xf numFmtId="14" fontId="0" fillId="2" borderId="1" xfId="0" applyNumberFormat="1" applyFill="1" applyBorder="1"/>
    <xf numFmtId="0" fontId="0" fillId="2" borderId="1" xfId="0" applyFill="1" applyBorder="1"/>
    <xf numFmtId="0" fontId="0" fillId="2" borderId="2" xfId="0" applyFill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0" fillId="2" borderId="0" xfId="0" applyFill="1"/>
    <xf numFmtId="0" fontId="5" fillId="2" borderId="1" xfId="0" applyFont="1" applyFill="1" applyBorder="1"/>
    <xf numFmtId="0" fontId="2" fillId="0" borderId="8" xfId="0" applyFont="1" applyBorder="1"/>
    <xf numFmtId="0" fontId="0" fillId="0" borderId="10" xfId="0" applyBorder="1"/>
    <xf numFmtId="16" fontId="0" fillId="0" borderId="11" xfId="0" applyNumberFormat="1" applyBorder="1"/>
    <xf numFmtId="0" fontId="0" fillId="0" borderId="11" xfId="0" applyBorder="1"/>
    <xf numFmtId="0" fontId="3" fillId="0" borderId="3" xfId="0" applyFont="1" applyBorder="1"/>
    <xf numFmtId="0" fontId="3" fillId="0" borderId="5" xfId="0" applyFont="1" applyBorder="1"/>
    <xf numFmtId="14" fontId="0" fillId="0" borderId="9" xfId="0" applyNumberFormat="1" applyBorder="1"/>
    <xf numFmtId="0" fontId="0" fillId="0" borderId="12" xfId="0" applyBorder="1"/>
    <xf numFmtId="0" fontId="0" fillId="0" borderId="13" xfId="0" applyBorder="1"/>
    <xf numFmtId="16" fontId="0" fillId="0" borderId="0" xfId="0" applyNumberFormat="1"/>
    <xf numFmtId="14" fontId="0" fillId="3" borderId="1" xfId="0" applyNumberFormat="1" applyFill="1" applyBorder="1"/>
    <xf numFmtId="0" fontId="0" fillId="3" borderId="1" xfId="0" applyFill="1" applyBorder="1"/>
    <xf numFmtId="0" fontId="0" fillId="3" borderId="2" xfId="0" applyFill="1" applyBorder="1"/>
    <xf numFmtId="164" fontId="0" fillId="3" borderId="1" xfId="0" applyNumberFormat="1" applyFill="1" applyBorder="1"/>
    <xf numFmtId="164" fontId="0" fillId="3" borderId="2" xfId="0" applyNumberFormat="1" applyFill="1" applyBorder="1"/>
    <xf numFmtId="0" fontId="2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workbookViewId="0">
      <selection activeCell="N15" sqref="N15"/>
    </sheetView>
  </sheetViews>
  <sheetFormatPr baseColWidth="10" defaultRowHeight="15" x14ac:dyDescent="0.25"/>
  <cols>
    <col min="1" max="1" width="13.140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5703125" style="1" bestFit="1" customWidth="1"/>
    <col min="9" max="9" width="11.5703125" style="1" customWidth="1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51" t="s">
        <v>7</v>
      </c>
      <c r="B1" s="51"/>
      <c r="C1" s="51"/>
      <c r="D1" s="51"/>
      <c r="E1" s="51"/>
      <c r="F1" s="51"/>
      <c r="G1" s="51"/>
      <c r="H1" s="15">
        <v>2022</v>
      </c>
      <c r="I1" s="15"/>
      <c r="J1" s="14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35" t="s">
        <v>5</v>
      </c>
      <c r="K2" s="39" t="s">
        <v>20</v>
      </c>
      <c r="L2" s="40" t="s">
        <v>21</v>
      </c>
    </row>
    <row r="3" spans="1:12" x14ac:dyDescent="0.25">
      <c r="A3" s="5">
        <v>44567</v>
      </c>
      <c r="B3" s="6" t="s">
        <v>22</v>
      </c>
      <c r="C3" s="6">
        <v>1</v>
      </c>
      <c r="D3" s="6">
        <v>84</v>
      </c>
      <c r="E3" s="6">
        <v>3</v>
      </c>
      <c r="F3" s="6">
        <v>37</v>
      </c>
      <c r="G3" s="6">
        <f>SUM(E3*60+F3)</f>
        <v>217</v>
      </c>
      <c r="H3" s="7">
        <f>SUM(D3/G3*60)</f>
        <v>23.225806451612904</v>
      </c>
      <c r="I3" s="7">
        <v>374</v>
      </c>
      <c r="J3" s="36"/>
      <c r="K3" s="6"/>
      <c r="L3" s="6">
        <v>84</v>
      </c>
    </row>
    <row r="4" spans="1:12" x14ac:dyDescent="0.25">
      <c r="A4" s="4">
        <v>44569</v>
      </c>
      <c r="B4" s="2" t="s">
        <v>23</v>
      </c>
      <c r="C4" s="6">
        <v>2</v>
      </c>
      <c r="D4" s="2">
        <v>68</v>
      </c>
      <c r="E4" s="2">
        <v>3</v>
      </c>
      <c r="F4" s="2">
        <v>3</v>
      </c>
      <c r="G4" s="2">
        <f t="shared" ref="G4:G23" si="0">SUM(E4*60+F4)</f>
        <v>183</v>
      </c>
      <c r="H4" s="3">
        <f t="shared" ref="H4:H23" si="1">SUM(D4/G4*60)</f>
        <v>22.295081967213115</v>
      </c>
      <c r="I4" s="7">
        <v>274</v>
      </c>
      <c r="J4" s="36"/>
      <c r="K4" s="2"/>
      <c r="L4" s="2">
        <v>68</v>
      </c>
    </row>
    <row r="5" spans="1:12" x14ac:dyDescent="0.25">
      <c r="A5" s="4">
        <v>44574</v>
      </c>
      <c r="B5" s="2" t="s">
        <v>27</v>
      </c>
      <c r="C5" s="6">
        <v>3</v>
      </c>
      <c r="D5" s="2">
        <v>88</v>
      </c>
      <c r="E5" s="2">
        <v>3</v>
      </c>
      <c r="F5" s="2">
        <v>50</v>
      </c>
      <c r="G5" s="2">
        <f t="shared" si="0"/>
        <v>230</v>
      </c>
      <c r="H5" s="3">
        <f t="shared" si="1"/>
        <v>22.956521739130437</v>
      </c>
      <c r="I5" s="3">
        <v>418</v>
      </c>
      <c r="J5" s="37"/>
      <c r="K5" s="2"/>
      <c r="L5" s="2">
        <v>88</v>
      </c>
    </row>
    <row r="6" spans="1:12" x14ac:dyDescent="0.25">
      <c r="A6" s="4">
        <v>44579</v>
      </c>
      <c r="B6" s="2" t="s">
        <v>28</v>
      </c>
      <c r="C6" s="6">
        <v>4</v>
      </c>
      <c r="D6" s="2">
        <v>58</v>
      </c>
      <c r="E6" s="2">
        <v>2</v>
      </c>
      <c r="F6" s="2">
        <v>35</v>
      </c>
      <c r="G6" s="2">
        <f t="shared" si="0"/>
        <v>155</v>
      </c>
      <c r="H6" s="3">
        <f t="shared" si="1"/>
        <v>22.451612903225808</v>
      </c>
      <c r="I6" s="3">
        <v>206</v>
      </c>
      <c r="J6" s="36"/>
      <c r="K6" s="2"/>
      <c r="L6" s="2">
        <v>58</v>
      </c>
    </row>
    <row r="7" spans="1:12" x14ac:dyDescent="0.25">
      <c r="A7" s="4">
        <v>44581</v>
      </c>
      <c r="B7" s="2" t="s">
        <v>29</v>
      </c>
      <c r="C7" s="6">
        <v>5</v>
      </c>
      <c r="D7" s="2">
        <v>75</v>
      </c>
      <c r="E7" s="2">
        <v>3</v>
      </c>
      <c r="F7" s="2">
        <v>16</v>
      </c>
      <c r="G7" s="2">
        <f t="shared" si="0"/>
        <v>196</v>
      </c>
      <c r="H7" s="3">
        <f t="shared" si="1"/>
        <v>22.959183673469386</v>
      </c>
      <c r="I7" s="3">
        <v>210</v>
      </c>
      <c r="J7" s="36"/>
      <c r="K7" s="2"/>
      <c r="L7" s="2">
        <v>75</v>
      </c>
    </row>
    <row r="8" spans="1:12" x14ac:dyDescent="0.25">
      <c r="A8" s="4">
        <v>44588</v>
      </c>
      <c r="B8" s="2" t="s">
        <v>30</v>
      </c>
      <c r="C8" s="6">
        <v>6</v>
      </c>
      <c r="D8" s="2">
        <v>63</v>
      </c>
      <c r="E8" s="2">
        <v>2</v>
      </c>
      <c r="F8" s="2">
        <v>42</v>
      </c>
      <c r="G8" s="2">
        <f t="shared" si="0"/>
        <v>162</v>
      </c>
      <c r="H8" s="3">
        <f t="shared" si="1"/>
        <v>23.333333333333332</v>
      </c>
      <c r="I8" s="3">
        <v>233</v>
      </c>
      <c r="J8" s="38"/>
      <c r="K8" s="2"/>
      <c r="L8" s="2">
        <v>63</v>
      </c>
    </row>
    <row r="9" spans="1:12" x14ac:dyDescent="0.25">
      <c r="A9" s="4"/>
      <c r="B9" s="21"/>
      <c r="C9" s="6">
        <v>7</v>
      </c>
      <c r="D9" s="2"/>
      <c r="E9" s="2"/>
      <c r="F9" s="2"/>
      <c r="G9" s="2">
        <f t="shared" si="0"/>
        <v>0</v>
      </c>
      <c r="H9" s="3" t="e">
        <f t="shared" si="1"/>
        <v>#DIV/0!</v>
      </c>
      <c r="I9" s="3"/>
      <c r="J9" s="38"/>
      <c r="K9" s="19"/>
      <c r="L9" s="2"/>
    </row>
    <row r="10" spans="1:12" x14ac:dyDescent="0.25">
      <c r="A10" s="4"/>
      <c r="B10" s="2"/>
      <c r="C10" s="6">
        <v>8</v>
      </c>
      <c r="D10" s="2"/>
      <c r="E10" s="2"/>
      <c r="F10" s="2"/>
      <c r="G10" s="2">
        <f t="shared" si="0"/>
        <v>0</v>
      </c>
      <c r="H10" s="3" t="e">
        <f t="shared" si="1"/>
        <v>#DIV/0!</v>
      </c>
      <c r="I10" s="7"/>
      <c r="J10" s="38"/>
      <c r="K10" s="2"/>
      <c r="L10" s="2"/>
    </row>
    <row r="11" spans="1:12" x14ac:dyDescent="0.25">
      <c r="A11" s="4"/>
      <c r="B11" s="2"/>
      <c r="C11" s="6">
        <v>9</v>
      </c>
      <c r="D11" s="2"/>
      <c r="E11" s="2"/>
      <c r="F11" s="2"/>
      <c r="G11" s="2">
        <f t="shared" si="0"/>
        <v>0</v>
      </c>
      <c r="H11" s="3" t="e">
        <f t="shared" si="1"/>
        <v>#DIV/0!</v>
      </c>
      <c r="I11" s="3"/>
      <c r="J11" s="36"/>
      <c r="K11" s="2"/>
      <c r="L11" s="2"/>
    </row>
    <row r="12" spans="1:12" x14ac:dyDescent="0.25">
      <c r="A12" s="4"/>
      <c r="B12" s="2"/>
      <c r="C12" s="6">
        <v>10</v>
      </c>
      <c r="D12" s="2"/>
      <c r="E12" s="2"/>
      <c r="F12" s="2"/>
      <c r="G12" s="2">
        <f t="shared" si="0"/>
        <v>0</v>
      </c>
      <c r="H12" s="3" t="e">
        <f t="shared" si="1"/>
        <v>#DIV/0!</v>
      </c>
      <c r="I12" s="3"/>
      <c r="J12" s="38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38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38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38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38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38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38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38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38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38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38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38"/>
      <c r="K23" s="2"/>
      <c r="L23" s="2"/>
    </row>
    <row r="24" spans="1:12" x14ac:dyDescent="0.25">
      <c r="D24">
        <f>SUM(D3:D23)</f>
        <v>436</v>
      </c>
      <c r="I24" s="1">
        <f>SUM(I3:I23)</f>
        <v>1715</v>
      </c>
      <c r="K24">
        <f>SUM(K3:K23)</f>
        <v>0</v>
      </c>
      <c r="L24">
        <f>SUM(L3:L23)</f>
        <v>436</v>
      </c>
    </row>
    <row r="25" spans="1:12" x14ac:dyDescent="0.25">
      <c r="A25" t="s">
        <v>26</v>
      </c>
      <c r="B25">
        <f>SUM(D24+0)</f>
        <v>436</v>
      </c>
      <c r="H25" s="1">
        <f>SUM(I24+0)</f>
        <v>1715</v>
      </c>
    </row>
    <row r="26" spans="1:12" x14ac:dyDescent="0.25">
      <c r="J26" t="s">
        <v>24</v>
      </c>
      <c r="K26">
        <v>1843</v>
      </c>
      <c r="L26">
        <v>9688</v>
      </c>
    </row>
    <row r="27" spans="1:12" x14ac:dyDescent="0.25">
      <c r="J27" t="s">
        <v>25</v>
      </c>
      <c r="K27">
        <f>SUM(K24+1843)</f>
        <v>1843</v>
      </c>
      <c r="L27">
        <f>SUM(L24+9688)</f>
        <v>10124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8"/>
  <sheetViews>
    <sheetView workbookViewId="0">
      <selection activeCell="B16" sqref="B16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51" t="s">
        <v>8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44593</v>
      </c>
      <c r="B3" s="6" t="s">
        <v>31</v>
      </c>
      <c r="C3" s="6">
        <v>1</v>
      </c>
      <c r="D3" s="6">
        <v>88</v>
      </c>
      <c r="E3" s="6">
        <v>3</v>
      </c>
      <c r="F3" s="6">
        <v>47</v>
      </c>
      <c r="G3" s="6">
        <f>SUM(E3*60+F3)</f>
        <v>227</v>
      </c>
      <c r="H3" s="7">
        <f>SUM(D3/G3*60)</f>
        <v>23.259911894273127</v>
      </c>
      <c r="I3" s="7">
        <v>270</v>
      </c>
      <c r="J3" s="6"/>
      <c r="K3" s="6">
        <v>88</v>
      </c>
      <c r="L3" s="6"/>
    </row>
    <row r="4" spans="1:12" x14ac:dyDescent="0.25">
      <c r="A4" s="4">
        <v>44595</v>
      </c>
      <c r="B4" s="2" t="s">
        <v>32</v>
      </c>
      <c r="C4" s="6">
        <v>2</v>
      </c>
      <c r="D4" s="2">
        <v>83</v>
      </c>
      <c r="E4" s="2">
        <v>3</v>
      </c>
      <c r="F4" s="2">
        <v>29</v>
      </c>
      <c r="G4" s="2">
        <f t="shared" ref="G4:G23" si="0">SUM(E4*60+F4)</f>
        <v>209</v>
      </c>
      <c r="H4" s="3">
        <f t="shared" ref="H4:H23" si="1">SUM(D4/G4*60)</f>
        <v>23.827751196172251</v>
      </c>
      <c r="I4" s="7">
        <v>316</v>
      </c>
      <c r="J4" s="2"/>
      <c r="K4" s="2"/>
      <c r="L4" s="2">
        <v>83</v>
      </c>
    </row>
    <row r="5" spans="1:12" x14ac:dyDescent="0.25">
      <c r="A5" s="4">
        <v>44597</v>
      </c>
      <c r="B5" s="2" t="s">
        <v>34</v>
      </c>
      <c r="C5" s="6">
        <v>3</v>
      </c>
      <c r="D5" s="2">
        <v>75</v>
      </c>
      <c r="E5" s="2">
        <v>3</v>
      </c>
      <c r="F5" s="2">
        <v>9</v>
      </c>
      <c r="G5" s="2">
        <f t="shared" si="0"/>
        <v>189</v>
      </c>
      <c r="H5" s="3">
        <f t="shared" si="1"/>
        <v>23.809523809523807</v>
      </c>
      <c r="I5" s="3">
        <v>157</v>
      </c>
      <c r="J5" s="2"/>
      <c r="K5" s="2">
        <v>75</v>
      </c>
      <c r="L5" s="2"/>
    </row>
    <row r="6" spans="1:12" x14ac:dyDescent="0.25">
      <c r="A6" s="4">
        <v>44597</v>
      </c>
      <c r="B6" s="2" t="s">
        <v>33</v>
      </c>
      <c r="C6" s="6">
        <v>4</v>
      </c>
      <c r="D6" s="2">
        <v>25</v>
      </c>
      <c r="E6" s="2">
        <v>1</v>
      </c>
      <c r="F6" s="2">
        <v>30</v>
      </c>
      <c r="G6" s="2">
        <f t="shared" si="0"/>
        <v>90</v>
      </c>
      <c r="H6" s="3">
        <f t="shared" si="1"/>
        <v>16.666666666666668</v>
      </c>
      <c r="I6" s="3">
        <v>58</v>
      </c>
      <c r="J6" s="2"/>
      <c r="K6" s="2">
        <v>25</v>
      </c>
      <c r="L6" s="2"/>
    </row>
    <row r="7" spans="1:12" x14ac:dyDescent="0.25">
      <c r="A7" s="4">
        <v>44600</v>
      </c>
      <c r="B7" s="2" t="s">
        <v>35</v>
      </c>
      <c r="C7" s="6">
        <v>5</v>
      </c>
      <c r="D7" s="2">
        <v>110</v>
      </c>
      <c r="E7" s="2">
        <v>4</v>
      </c>
      <c r="F7" s="2">
        <v>31</v>
      </c>
      <c r="G7" s="2">
        <f t="shared" si="0"/>
        <v>271</v>
      </c>
      <c r="H7" s="3">
        <f t="shared" si="1"/>
        <v>24.354243542435423</v>
      </c>
      <c r="I7" s="3">
        <v>426</v>
      </c>
      <c r="J7" s="6"/>
      <c r="K7" s="2"/>
      <c r="L7" s="2">
        <v>110</v>
      </c>
    </row>
    <row r="8" spans="1:12" x14ac:dyDescent="0.25">
      <c r="A8" s="4">
        <v>44609</v>
      </c>
      <c r="B8" s="2" t="s">
        <v>36</v>
      </c>
      <c r="C8" s="6">
        <v>6</v>
      </c>
      <c r="D8" s="2">
        <v>75</v>
      </c>
      <c r="E8" s="2">
        <v>3</v>
      </c>
      <c r="F8" s="2">
        <v>6</v>
      </c>
      <c r="G8" s="2">
        <f t="shared" si="0"/>
        <v>186</v>
      </c>
      <c r="H8" s="3">
        <f t="shared" si="1"/>
        <v>24.193548387096772</v>
      </c>
      <c r="I8" s="3">
        <v>178</v>
      </c>
      <c r="J8" s="2"/>
      <c r="K8" s="2">
        <v>75</v>
      </c>
      <c r="L8" s="2"/>
    </row>
    <row r="9" spans="1:12" x14ac:dyDescent="0.25">
      <c r="A9" s="4">
        <v>44611</v>
      </c>
      <c r="B9" s="2" t="s">
        <v>37</v>
      </c>
      <c r="C9" s="6">
        <v>7</v>
      </c>
      <c r="D9" s="2">
        <v>71</v>
      </c>
      <c r="E9" s="2">
        <v>3</v>
      </c>
      <c r="F9" s="2">
        <v>1</v>
      </c>
      <c r="G9" s="2">
        <f t="shared" si="0"/>
        <v>181</v>
      </c>
      <c r="H9" s="3">
        <f t="shared" si="1"/>
        <v>23.535911602209943</v>
      </c>
      <c r="I9" s="3">
        <v>297</v>
      </c>
      <c r="J9" s="2"/>
      <c r="K9" s="19"/>
      <c r="L9" s="2">
        <v>71</v>
      </c>
    </row>
    <row r="10" spans="1:12" x14ac:dyDescent="0.25">
      <c r="A10" s="4">
        <v>44614</v>
      </c>
      <c r="B10" s="2" t="s">
        <v>38</v>
      </c>
      <c r="C10" s="6">
        <v>8</v>
      </c>
      <c r="D10" s="2">
        <v>88</v>
      </c>
      <c r="E10" s="2">
        <v>3</v>
      </c>
      <c r="F10" s="2">
        <v>43</v>
      </c>
      <c r="G10" s="2">
        <f t="shared" si="0"/>
        <v>223</v>
      </c>
      <c r="H10" s="3">
        <f t="shared" si="1"/>
        <v>23.677130044843047</v>
      </c>
      <c r="I10" s="7">
        <v>183</v>
      </c>
      <c r="J10" s="2"/>
      <c r="K10" s="2">
        <v>88</v>
      </c>
      <c r="L10" s="2"/>
    </row>
    <row r="11" spans="1:12" x14ac:dyDescent="0.25">
      <c r="A11" s="4">
        <v>44618</v>
      </c>
      <c r="B11" s="2" t="s">
        <v>39</v>
      </c>
      <c r="C11" s="6">
        <v>9</v>
      </c>
      <c r="D11" s="2">
        <v>72</v>
      </c>
      <c r="E11" s="2">
        <v>3</v>
      </c>
      <c r="F11" s="2">
        <v>8</v>
      </c>
      <c r="G11" s="2">
        <f t="shared" si="0"/>
        <v>188</v>
      </c>
      <c r="H11" s="3">
        <f t="shared" si="1"/>
        <v>22.978723404255319</v>
      </c>
      <c r="I11" s="3">
        <v>277</v>
      </c>
      <c r="J11" s="2"/>
      <c r="K11" s="2">
        <v>72</v>
      </c>
      <c r="L11" s="2"/>
    </row>
    <row r="12" spans="1:12" x14ac:dyDescent="0.25">
      <c r="A12" s="4">
        <v>44618</v>
      </c>
      <c r="B12" s="2" t="s">
        <v>40</v>
      </c>
      <c r="C12" s="6">
        <v>10</v>
      </c>
      <c r="D12" s="2">
        <v>7</v>
      </c>
      <c r="E12" s="2"/>
      <c r="F12" s="2">
        <v>26</v>
      </c>
      <c r="G12" s="2">
        <f t="shared" si="0"/>
        <v>26</v>
      </c>
      <c r="H12" s="3">
        <f t="shared" si="1"/>
        <v>16.153846153846153</v>
      </c>
      <c r="I12" s="3">
        <v>21</v>
      </c>
      <c r="J12" s="2"/>
      <c r="K12" s="2">
        <v>7</v>
      </c>
      <c r="L12" s="2"/>
    </row>
    <row r="13" spans="1:12" x14ac:dyDescent="0.25">
      <c r="A13" s="4">
        <v>44620</v>
      </c>
      <c r="B13" s="2" t="s">
        <v>41</v>
      </c>
      <c r="C13" s="6">
        <v>11</v>
      </c>
      <c r="D13" s="2">
        <v>127</v>
      </c>
      <c r="E13" s="2">
        <v>5</v>
      </c>
      <c r="F13" s="2">
        <v>37</v>
      </c>
      <c r="G13" s="2">
        <f t="shared" si="0"/>
        <v>337</v>
      </c>
      <c r="H13" s="3">
        <f t="shared" si="1"/>
        <v>22.611275964391695</v>
      </c>
      <c r="I13" s="3">
        <v>509</v>
      </c>
      <c r="J13" s="2"/>
      <c r="K13" s="2">
        <v>127</v>
      </c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821</v>
      </c>
      <c r="I24" s="1">
        <f>SUM(I3:I23)</f>
        <v>2692</v>
      </c>
      <c r="K24">
        <f>SUM(K3:K23)</f>
        <v>557</v>
      </c>
      <c r="L24">
        <f>SUM(L3:L23)</f>
        <v>264</v>
      </c>
    </row>
    <row r="25" spans="1:12" x14ac:dyDescent="0.25">
      <c r="A25" t="s">
        <v>26</v>
      </c>
      <c r="B25">
        <f>SUM(Janv!B25+Fév!D24)</f>
        <v>1257</v>
      </c>
      <c r="H25" s="1">
        <f>SUM(Janv!H25+Fév!I24)</f>
        <v>4407</v>
      </c>
      <c r="K25">
        <f>SUM(Janv!K24+Fév!K24)</f>
        <v>557</v>
      </c>
      <c r="L25">
        <f>SUM(Janv!L24+Fév!L24)</f>
        <v>700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2400</v>
      </c>
      <c r="L28">
        <f>SUM(L25+9688)</f>
        <v>10388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workbookViewId="0">
      <selection activeCell="L21" sqref="L21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85546875" customWidth="1"/>
    <col min="12" max="12" width="7" customWidth="1"/>
  </cols>
  <sheetData>
    <row r="1" spans="1:12" ht="27" thickBot="1" x14ac:dyDescent="0.45">
      <c r="A1" s="51" t="s">
        <v>9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44621</v>
      </c>
      <c r="B3" s="6" t="s">
        <v>42</v>
      </c>
      <c r="C3" s="6">
        <v>1</v>
      </c>
      <c r="D3" s="6">
        <v>92</v>
      </c>
      <c r="E3" s="6">
        <v>3</v>
      </c>
      <c r="F3" s="6">
        <v>44</v>
      </c>
      <c r="G3" s="6">
        <f>SUM(E3*60+F3)</f>
        <v>224</v>
      </c>
      <c r="H3" s="7">
        <f>SUM(D3/G3*60)</f>
        <v>24.642857142857142</v>
      </c>
      <c r="I3" s="7">
        <v>358</v>
      </c>
      <c r="J3" s="6"/>
      <c r="K3" s="6"/>
      <c r="L3" s="6">
        <v>92</v>
      </c>
    </row>
    <row r="4" spans="1:12" x14ac:dyDescent="0.25">
      <c r="A4" s="4">
        <v>44623</v>
      </c>
      <c r="B4" s="6" t="s">
        <v>43</v>
      </c>
      <c r="C4" s="6">
        <v>2</v>
      </c>
      <c r="D4" s="2">
        <v>89</v>
      </c>
      <c r="E4" s="2">
        <v>3</v>
      </c>
      <c r="F4" s="2">
        <v>49</v>
      </c>
      <c r="G4" s="2">
        <f t="shared" ref="G4:G23" si="0">SUM(E4*60+F4)</f>
        <v>229</v>
      </c>
      <c r="H4" s="3">
        <f t="shared" ref="H4:H23" si="1">SUM(D4/G4*60)</f>
        <v>23.318777292576421</v>
      </c>
      <c r="I4" s="7">
        <v>484</v>
      </c>
      <c r="J4" s="2"/>
      <c r="K4" s="2"/>
      <c r="L4" s="2">
        <v>89</v>
      </c>
    </row>
    <row r="5" spans="1:12" x14ac:dyDescent="0.25">
      <c r="A5" s="4">
        <v>44625</v>
      </c>
      <c r="B5" s="2" t="s">
        <v>44</v>
      </c>
      <c r="C5" s="6">
        <v>3</v>
      </c>
      <c r="D5" s="2">
        <v>74</v>
      </c>
      <c r="E5" s="2">
        <v>3</v>
      </c>
      <c r="F5" s="2">
        <v>5</v>
      </c>
      <c r="G5" s="2">
        <f t="shared" si="0"/>
        <v>185</v>
      </c>
      <c r="H5" s="3">
        <f t="shared" si="1"/>
        <v>24</v>
      </c>
      <c r="I5" s="3">
        <v>303</v>
      </c>
      <c r="J5" s="2"/>
      <c r="K5" s="2"/>
      <c r="L5" s="2">
        <v>74</v>
      </c>
    </row>
    <row r="6" spans="1:12" x14ac:dyDescent="0.25">
      <c r="A6" s="4">
        <v>44625</v>
      </c>
      <c r="B6" s="2" t="s">
        <v>45</v>
      </c>
      <c r="C6" s="6">
        <v>4</v>
      </c>
      <c r="D6" s="2">
        <v>25</v>
      </c>
      <c r="E6" s="2">
        <v>1</v>
      </c>
      <c r="F6" s="2">
        <v>28</v>
      </c>
      <c r="G6" s="2">
        <f t="shared" si="0"/>
        <v>88</v>
      </c>
      <c r="H6" s="3">
        <f t="shared" si="1"/>
        <v>17.045454545454547</v>
      </c>
      <c r="I6" s="3">
        <v>48</v>
      </c>
      <c r="J6" s="2"/>
      <c r="K6" s="2">
        <v>25</v>
      </c>
      <c r="L6" s="2"/>
    </row>
    <row r="7" spans="1:12" x14ac:dyDescent="0.25">
      <c r="A7" s="4">
        <v>44626</v>
      </c>
      <c r="B7" s="2" t="s">
        <v>46</v>
      </c>
      <c r="C7" s="6">
        <v>5</v>
      </c>
      <c r="D7" s="2">
        <v>47</v>
      </c>
      <c r="E7" s="2">
        <v>2</v>
      </c>
      <c r="F7" s="2">
        <v>22</v>
      </c>
      <c r="G7" s="2">
        <f t="shared" si="0"/>
        <v>142</v>
      </c>
      <c r="H7" s="3">
        <f t="shared" si="1"/>
        <v>19.859154929577464</v>
      </c>
      <c r="I7" s="3">
        <v>163</v>
      </c>
      <c r="J7" s="2"/>
      <c r="K7" s="2">
        <v>47</v>
      </c>
      <c r="L7" s="2"/>
    </row>
    <row r="8" spans="1:12" x14ac:dyDescent="0.25">
      <c r="A8" s="4">
        <v>44628</v>
      </c>
      <c r="B8" s="2" t="s">
        <v>47</v>
      </c>
      <c r="C8" s="6">
        <v>6</v>
      </c>
      <c r="D8" s="2">
        <v>98</v>
      </c>
      <c r="E8" s="2">
        <v>4</v>
      </c>
      <c r="F8" s="2">
        <v>5</v>
      </c>
      <c r="G8" s="2">
        <f t="shared" si="0"/>
        <v>245</v>
      </c>
      <c r="H8" s="3">
        <f t="shared" si="1"/>
        <v>24</v>
      </c>
      <c r="I8" s="3">
        <v>397</v>
      </c>
      <c r="J8" s="2"/>
      <c r="K8" s="2">
        <v>98</v>
      </c>
      <c r="L8" s="2"/>
    </row>
    <row r="9" spans="1:12" x14ac:dyDescent="0.25">
      <c r="A9" s="4">
        <v>44630</v>
      </c>
      <c r="B9" s="2" t="s">
        <v>48</v>
      </c>
      <c r="C9" s="6">
        <v>7</v>
      </c>
      <c r="D9" s="2">
        <v>80</v>
      </c>
      <c r="E9" s="2">
        <v>3</v>
      </c>
      <c r="F9" s="2">
        <v>33</v>
      </c>
      <c r="G9" s="2">
        <f t="shared" si="0"/>
        <v>213</v>
      </c>
      <c r="H9" s="3">
        <f t="shared" si="1"/>
        <v>22.535211267605632</v>
      </c>
      <c r="I9" s="3">
        <v>436</v>
      </c>
      <c r="J9" s="2"/>
      <c r="K9" s="2">
        <v>80</v>
      </c>
      <c r="L9" s="2"/>
    </row>
    <row r="10" spans="1:12" x14ac:dyDescent="0.25">
      <c r="A10" s="4">
        <v>44630</v>
      </c>
      <c r="B10" s="2" t="s">
        <v>49</v>
      </c>
      <c r="C10" s="6">
        <v>8</v>
      </c>
      <c r="D10" s="2">
        <v>15</v>
      </c>
      <c r="E10" s="2"/>
      <c r="F10" s="2">
        <v>40</v>
      </c>
      <c r="G10" s="2">
        <f t="shared" si="0"/>
        <v>40</v>
      </c>
      <c r="H10" s="3">
        <f t="shared" si="1"/>
        <v>22.5</v>
      </c>
      <c r="I10" s="7">
        <v>20</v>
      </c>
      <c r="J10" s="2"/>
      <c r="K10" s="2">
        <v>15</v>
      </c>
      <c r="L10" s="2"/>
    </row>
    <row r="11" spans="1:12" x14ac:dyDescent="0.25">
      <c r="A11" s="4">
        <v>44632</v>
      </c>
      <c r="B11" s="2" t="s">
        <v>50</v>
      </c>
      <c r="C11" s="6">
        <v>9</v>
      </c>
      <c r="D11" s="2">
        <v>75</v>
      </c>
      <c r="E11" s="2">
        <v>3</v>
      </c>
      <c r="F11" s="2">
        <v>13</v>
      </c>
      <c r="G11" s="2">
        <f t="shared" si="0"/>
        <v>193</v>
      </c>
      <c r="H11" s="3">
        <f t="shared" si="1"/>
        <v>23.316062176165804</v>
      </c>
      <c r="I11" s="3">
        <v>319</v>
      </c>
      <c r="J11" s="2"/>
      <c r="K11" s="2">
        <v>75</v>
      </c>
      <c r="L11" s="2"/>
    </row>
    <row r="12" spans="1:12" x14ac:dyDescent="0.25">
      <c r="A12" s="4">
        <v>44632</v>
      </c>
      <c r="B12" s="2" t="s">
        <v>51</v>
      </c>
      <c r="C12" s="6">
        <v>10</v>
      </c>
      <c r="D12" s="2">
        <v>28</v>
      </c>
      <c r="E12" s="2">
        <v>1</v>
      </c>
      <c r="F12" s="2">
        <v>49</v>
      </c>
      <c r="G12" s="2">
        <f t="shared" si="0"/>
        <v>109</v>
      </c>
      <c r="H12" s="3">
        <f t="shared" si="1"/>
        <v>15.412844036697248</v>
      </c>
      <c r="I12" s="3">
        <v>91</v>
      </c>
      <c r="J12" s="2"/>
      <c r="K12" s="2">
        <v>28</v>
      </c>
      <c r="L12" s="2"/>
    </row>
    <row r="13" spans="1:12" x14ac:dyDescent="0.25">
      <c r="A13" s="4">
        <v>44635</v>
      </c>
      <c r="B13" s="2" t="s">
        <v>52</v>
      </c>
      <c r="C13" s="6">
        <v>11</v>
      </c>
      <c r="D13" s="2">
        <v>104</v>
      </c>
      <c r="E13" s="2">
        <v>4</v>
      </c>
      <c r="F13" s="2">
        <v>13</v>
      </c>
      <c r="G13" s="2">
        <f t="shared" si="0"/>
        <v>253</v>
      </c>
      <c r="H13" s="3">
        <f t="shared" si="1"/>
        <v>24.664031620553359</v>
      </c>
      <c r="I13" s="3">
        <v>433</v>
      </c>
      <c r="J13" s="2"/>
      <c r="K13" s="2"/>
      <c r="L13" s="2">
        <v>104</v>
      </c>
    </row>
    <row r="14" spans="1:12" x14ac:dyDescent="0.25">
      <c r="A14" s="4">
        <v>44637</v>
      </c>
      <c r="B14" s="2" t="s">
        <v>53</v>
      </c>
      <c r="C14" s="6">
        <v>12</v>
      </c>
      <c r="D14" s="2">
        <v>86</v>
      </c>
      <c r="E14" s="2">
        <v>3</v>
      </c>
      <c r="F14" s="2">
        <v>26</v>
      </c>
      <c r="G14" s="2">
        <f t="shared" si="0"/>
        <v>206</v>
      </c>
      <c r="H14" s="3">
        <f t="shared" si="1"/>
        <v>25.048543689320386</v>
      </c>
      <c r="I14" s="3">
        <v>342</v>
      </c>
      <c r="J14" s="2"/>
      <c r="K14" s="2"/>
      <c r="L14" s="2">
        <v>86</v>
      </c>
    </row>
    <row r="15" spans="1:12" x14ac:dyDescent="0.25">
      <c r="A15" s="4">
        <v>44639</v>
      </c>
      <c r="B15" s="2" t="s">
        <v>54</v>
      </c>
      <c r="C15" s="6">
        <v>13</v>
      </c>
      <c r="D15" s="2">
        <v>67</v>
      </c>
      <c r="E15" s="2">
        <v>2</v>
      </c>
      <c r="F15" s="2">
        <v>47</v>
      </c>
      <c r="G15" s="2">
        <f t="shared" si="0"/>
        <v>167</v>
      </c>
      <c r="H15" s="3">
        <f t="shared" si="1"/>
        <v>24.071856287425149</v>
      </c>
      <c r="I15" s="3">
        <v>271</v>
      </c>
      <c r="J15" s="6"/>
      <c r="K15" s="2">
        <v>67</v>
      </c>
      <c r="L15" s="2"/>
    </row>
    <row r="16" spans="1:12" x14ac:dyDescent="0.25">
      <c r="A16" s="4">
        <v>44639</v>
      </c>
      <c r="B16" s="2" t="s">
        <v>45</v>
      </c>
      <c r="C16" s="6">
        <v>14</v>
      </c>
      <c r="D16" s="2">
        <v>29</v>
      </c>
      <c r="E16" s="2">
        <v>1</v>
      </c>
      <c r="F16" s="2">
        <v>40</v>
      </c>
      <c r="G16" s="2">
        <f t="shared" si="0"/>
        <v>100</v>
      </c>
      <c r="H16" s="3">
        <f t="shared" si="1"/>
        <v>17.399999999999999</v>
      </c>
      <c r="I16" s="3">
        <v>76</v>
      </c>
      <c r="J16" s="2"/>
      <c r="K16" s="2">
        <v>29</v>
      </c>
      <c r="L16" s="2"/>
    </row>
    <row r="17" spans="1:12" x14ac:dyDescent="0.25">
      <c r="A17" s="4">
        <v>44641</v>
      </c>
      <c r="B17" s="2" t="s">
        <v>55</v>
      </c>
      <c r="C17" s="6">
        <v>15</v>
      </c>
      <c r="D17" s="2">
        <v>160</v>
      </c>
      <c r="E17" s="2">
        <v>6</v>
      </c>
      <c r="F17" s="2">
        <v>50</v>
      </c>
      <c r="G17" s="2">
        <f t="shared" si="0"/>
        <v>410</v>
      </c>
      <c r="H17" s="3">
        <f t="shared" si="1"/>
        <v>23.414634146341463</v>
      </c>
      <c r="I17" s="3">
        <v>911</v>
      </c>
      <c r="J17" s="2"/>
      <c r="K17" s="2">
        <v>160</v>
      </c>
      <c r="L17" s="2"/>
    </row>
    <row r="18" spans="1:12" x14ac:dyDescent="0.25">
      <c r="A18" s="4">
        <v>44642</v>
      </c>
      <c r="B18" s="2" t="s">
        <v>56</v>
      </c>
      <c r="C18" s="6">
        <v>16</v>
      </c>
      <c r="D18" s="2">
        <v>96</v>
      </c>
      <c r="E18" s="2">
        <v>3</v>
      </c>
      <c r="F18" s="2">
        <v>48</v>
      </c>
      <c r="G18" s="2">
        <f t="shared" si="0"/>
        <v>228</v>
      </c>
      <c r="H18" s="3">
        <f t="shared" si="1"/>
        <v>25.263157894736842</v>
      </c>
      <c r="I18" s="3">
        <v>429</v>
      </c>
      <c r="J18" s="2"/>
      <c r="K18" s="2">
        <v>96</v>
      </c>
      <c r="L18" s="2"/>
    </row>
    <row r="19" spans="1:12" x14ac:dyDescent="0.25">
      <c r="A19" s="4">
        <v>44646</v>
      </c>
      <c r="B19" s="2" t="s">
        <v>57</v>
      </c>
      <c r="C19" s="6">
        <v>17</v>
      </c>
      <c r="D19" s="2">
        <v>74</v>
      </c>
      <c r="E19" s="2">
        <v>2</v>
      </c>
      <c r="F19" s="2">
        <v>49</v>
      </c>
      <c r="G19" s="2">
        <f t="shared" si="0"/>
        <v>169</v>
      </c>
      <c r="H19" s="3">
        <f t="shared" si="1"/>
        <v>26.272189349112427</v>
      </c>
      <c r="I19" s="3">
        <v>219</v>
      </c>
      <c r="J19" s="2"/>
      <c r="K19" s="2"/>
      <c r="L19" s="2">
        <v>74</v>
      </c>
    </row>
    <row r="20" spans="1:12" x14ac:dyDescent="0.25">
      <c r="A20" s="4">
        <v>44649</v>
      </c>
      <c r="B20" s="2" t="s">
        <v>58</v>
      </c>
      <c r="C20" s="6">
        <v>18</v>
      </c>
      <c r="D20" s="2">
        <v>108</v>
      </c>
      <c r="E20" s="2">
        <v>4</v>
      </c>
      <c r="F20" s="2">
        <v>16</v>
      </c>
      <c r="G20" s="2">
        <f t="shared" si="0"/>
        <v>256</v>
      </c>
      <c r="H20" s="3">
        <f t="shared" si="1"/>
        <v>25.3125</v>
      </c>
      <c r="I20" s="3">
        <v>507</v>
      </c>
      <c r="J20" s="2"/>
      <c r="K20" s="2"/>
      <c r="L20" s="2">
        <v>108</v>
      </c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1347</v>
      </c>
      <c r="I24" s="1">
        <f>SUM(I3:I23)</f>
        <v>5807</v>
      </c>
      <c r="K24">
        <f>SUM(K3:K23)</f>
        <v>720</v>
      </c>
      <c r="L24">
        <f>SUM(L3:L23)</f>
        <v>627</v>
      </c>
    </row>
    <row r="25" spans="1:12" x14ac:dyDescent="0.25">
      <c r="A25" t="s">
        <v>26</v>
      </c>
      <c r="B25">
        <f>SUM(Fév!B25+Mar!D24)</f>
        <v>2604</v>
      </c>
      <c r="H25" s="1">
        <f>SUM(Fév!H25+Mar!I24)</f>
        <v>10214</v>
      </c>
      <c r="K25">
        <f>SUM(Fév!K25+Mar!K24)</f>
        <v>1277</v>
      </c>
      <c r="L25">
        <f>SUM(Fév!L25+Mar!L24)</f>
        <v>1327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3120</v>
      </c>
      <c r="L28">
        <f>SUM(L25+9688)</f>
        <v>11015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topLeftCell="A4" workbookViewId="0">
      <selection activeCell="K15" sqref="K15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8" width="11.42578125" style="1"/>
    <col min="9" max="9" width="7.85546875" style="1" customWidth="1"/>
    <col min="10" max="10" width="20.140625" customWidth="1"/>
    <col min="11" max="11" width="8.28515625" customWidth="1"/>
    <col min="12" max="12" width="6.28515625" customWidth="1"/>
  </cols>
  <sheetData>
    <row r="1" spans="1:12" ht="27" thickBot="1" x14ac:dyDescent="0.45">
      <c r="A1" s="51" t="s">
        <v>10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44654</v>
      </c>
      <c r="B3" s="6" t="s">
        <v>59</v>
      </c>
      <c r="C3" s="6">
        <v>1</v>
      </c>
      <c r="D3" s="6">
        <v>200</v>
      </c>
      <c r="E3" s="6">
        <v>8</v>
      </c>
      <c r="F3" s="6">
        <v>25</v>
      </c>
      <c r="G3" s="6">
        <f>SUM(E3*60+F3)</f>
        <v>505</v>
      </c>
      <c r="H3" s="7">
        <f>SUM(D3/G3*60)</f>
        <v>23.762376237623762</v>
      </c>
      <c r="I3" s="7">
        <v>829</v>
      </c>
      <c r="J3" s="6"/>
      <c r="K3" s="6">
        <v>200</v>
      </c>
      <c r="L3" s="6"/>
    </row>
    <row r="4" spans="1:12" x14ac:dyDescent="0.25">
      <c r="A4" s="4">
        <v>44656</v>
      </c>
      <c r="B4" s="2" t="s">
        <v>60</v>
      </c>
      <c r="C4" s="6">
        <v>2</v>
      </c>
      <c r="D4" s="2">
        <v>90</v>
      </c>
      <c r="E4" s="2">
        <v>3</v>
      </c>
      <c r="F4" s="2">
        <v>35</v>
      </c>
      <c r="G4" s="2">
        <f t="shared" ref="G4:G23" si="0">SUM(E4*60+F4)</f>
        <v>215</v>
      </c>
      <c r="H4" s="3">
        <f t="shared" ref="H4:H23" si="1">SUM(D4/G4*60)</f>
        <v>25.116279069767444</v>
      </c>
      <c r="I4" s="7">
        <v>443</v>
      </c>
      <c r="J4" s="2"/>
      <c r="K4" s="2"/>
      <c r="L4" s="2">
        <v>90</v>
      </c>
    </row>
    <row r="5" spans="1:12" x14ac:dyDescent="0.25">
      <c r="A5" s="4">
        <v>44660</v>
      </c>
      <c r="B5" s="2" t="s">
        <v>61</v>
      </c>
      <c r="C5" s="6">
        <v>3</v>
      </c>
      <c r="D5" s="2">
        <v>83</v>
      </c>
      <c r="E5" s="2">
        <v>3</v>
      </c>
      <c r="F5" s="2">
        <v>22</v>
      </c>
      <c r="G5" s="2">
        <f t="shared" si="0"/>
        <v>202</v>
      </c>
      <c r="H5" s="3">
        <f t="shared" si="1"/>
        <v>24.653465346534652</v>
      </c>
      <c r="I5" s="3">
        <v>307</v>
      </c>
      <c r="J5" s="2"/>
      <c r="K5" s="2"/>
      <c r="L5" s="2">
        <v>83</v>
      </c>
    </row>
    <row r="6" spans="1:12" x14ac:dyDescent="0.25">
      <c r="A6" s="4">
        <v>44663</v>
      </c>
      <c r="B6" s="2" t="s">
        <v>62</v>
      </c>
      <c r="C6" s="6">
        <v>4</v>
      </c>
      <c r="D6" s="2">
        <v>102</v>
      </c>
      <c r="E6" s="2">
        <v>4</v>
      </c>
      <c r="F6" s="2">
        <v>14</v>
      </c>
      <c r="G6" s="2">
        <f t="shared" si="0"/>
        <v>254</v>
      </c>
      <c r="H6" s="3">
        <f t="shared" si="1"/>
        <v>24.094488188976378</v>
      </c>
      <c r="I6" s="3">
        <v>532</v>
      </c>
      <c r="J6" s="2"/>
      <c r="K6" s="2"/>
      <c r="L6" s="2">
        <v>102</v>
      </c>
    </row>
    <row r="7" spans="1:12" x14ac:dyDescent="0.25">
      <c r="A7" s="4">
        <v>44665</v>
      </c>
      <c r="B7" s="2" t="s">
        <v>63</v>
      </c>
      <c r="C7" s="6">
        <v>5</v>
      </c>
      <c r="D7" s="2">
        <v>90</v>
      </c>
      <c r="E7" s="2">
        <v>3</v>
      </c>
      <c r="F7" s="2">
        <v>53</v>
      </c>
      <c r="G7" s="2">
        <f t="shared" si="0"/>
        <v>233</v>
      </c>
      <c r="H7" s="3">
        <f t="shared" si="1"/>
        <v>23.175965665236049</v>
      </c>
      <c r="I7" s="3">
        <v>400</v>
      </c>
      <c r="J7" s="2"/>
      <c r="K7" s="2"/>
      <c r="L7" s="2">
        <v>90</v>
      </c>
    </row>
    <row r="8" spans="1:12" x14ac:dyDescent="0.25">
      <c r="A8" s="4">
        <v>44667</v>
      </c>
      <c r="B8" s="2" t="s">
        <v>64</v>
      </c>
      <c r="C8" s="6">
        <v>6</v>
      </c>
      <c r="D8" s="2">
        <v>104</v>
      </c>
      <c r="E8" s="2">
        <v>4</v>
      </c>
      <c r="F8" s="2">
        <v>34</v>
      </c>
      <c r="G8" s="2">
        <f t="shared" si="0"/>
        <v>274</v>
      </c>
      <c r="H8" s="3">
        <f t="shared" si="1"/>
        <v>22.773722627737225</v>
      </c>
      <c r="I8" s="3">
        <v>447</v>
      </c>
      <c r="J8" s="2"/>
      <c r="K8" s="2"/>
      <c r="L8" s="2">
        <v>104</v>
      </c>
    </row>
    <row r="9" spans="1:12" x14ac:dyDescent="0.25">
      <c r="A9" s="4">
        <v>44667</v>
      </c>
      <c r="B9" s="2" t="s">
        <v>45</v>
      </c>
      <c r="C9" s="6">
        <v>7</v>
      </c>
      <c r="D9" s="2">
        <v>23</v>
      </c>
      <c r="E9" s="2">
        <v>1</v>
      </c>
      <c r="F9" s="2">
        <v>22</v>
      </c>
      <c r="G9" s="2">
        <f t="shared" si="0"/>
        <v>82</v>
      </c>
      <c r="H9" s="3">
        <f t="shared" si="1"/>
        <v>16.829268292682929</v>
      </c>
      <c r="I9" s="3">
        <v>35</v>
      </c>
      <c r="J9" s="2"/>
      <c r="K9" s="2">
        <v>23</v>
      </c>
      <c r="L9" s="2"/>
    </row>
    <row r="10" spans="1:12" x14ac:dyDescent="0.25">
      <c r="A10" s="4">
        <v>44674</v>
      </c>
      <c r="B10" s="2" t="s">
        <v>65</v>
      </c>
      <c r="C10" s="6">
        <v>8</v>
      </c>
      <c r="D10" s="2">
        <v>301</v>
      </c>
      <c r="E10" s="2">
        <v>13</v>
      </c>
      <c r="F10" s="2">
        <v>26</v>
      </c>
      <c r="G10" s="2">
        <f t="shared" si="0"/>
        <v>806</v>
      </c>
      <c r="H10" s="3">
        <f t="shared" si="1"/>
        <v>22.406947890818859</v>
      </c>
      <c r="I10" s="7">
        <v>1935</v>
      </c>
      <c r="J10" s="2"/>
      <c r="K10" s="2">
        <v>301</v>
      </c>
      <c r="L10" s="2"/>
    </row>
    <row r="11" spans="1:12" x14ac:dyDescent="0.25">
      <c r="A11" s="4">
        <v>44681</v>
      </c>
      <c r="B11" s="2" t="s">
        <v>66</v>
      </c>
      <c r="C11" s="6">
        <v>9</v>
      </c>
      <c r="D11" s="2">
        <v>87</v>
      </c>
      <c r="E11" s="2">
        <v>3</v>
      </c>
      <c r="F11" s="2">
        <v>47</v>
      </c>
      <c r="G11" s="2">
        <f t="shared" si="0"/>
        <v>227</v>
      </c>
      <c r="H11" s="3">
        <f t="shared" si="1"/>
        <v>22.995594713656388</v>
      </c>
      <c r="I11" s="3">
        <v>302</v>
      </c>
      <c r="J11" s="2"/>
      <c r="K11" s="2"/>
      <c r="L11" s="2">
        <v>87</v>
      </c>
    </row>
    <row r="12" spans="1:12" x14ac:dyDescent="0.25">
      <c r="A12" s="4">
        <v>44681</v>
      </c>
      <c r="B12" s="2" t="s">
        <v>40</v>
      </c>
      <c r="C12" s="6">
        <v>10</v>
      </c>
      <c r="D12" s="2">
        <v>16</v>
      </c>
      <c r="E12" s="2">
        <v>1</v>
      </c>
      <c r="F12" s="2"/>
      <c r="G12" s="2">
        <f t="shared" si="0"/>
        <v>60</v>
      </c>
      <c r="H12" s="3">
        <f t="shared" si="1"/>
        <v>16</v>
      </c>
      <c r="I12" s="3">
        <v>48</v>
      </c>
      <c r="J12" s="2"/>
      <c r="K12" s="2">
        <v>16</v>
      </c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1096</v>
      </c>
      <c r="I24" s="1">
        <f>SUM(I3:I23)</f>
        <v>5278</v>
      </c>
      <c r="K24">
        <f>SUM(K3:K23)</f>
        <v>540</v>
      </c>
      <c r="L24">
        <f>SUM(L3:L23)</f>
        <v>556</v>
      </c>
    </row>
    <row r="25" spans="1:12" x14ac:dyDescent="0.25">
      <c r="A25" t="s">
        <v>26</v>
      </c>
      <c r="B25">
        <f>SUM(Mar!B25+Avr!D24)</f>
        <v>3700</v>
      </c>
      <c r="H25" s="1">
        <f>SUM(Mar!H25+Avr!I24)</f>
        <v>15492</v>
      </c>
      <c r="K25">
        <f>SUM(Mar!K25+Avr!K24)</f>
        <v>1817</v>
      </c>
      <c r="L25">
        <f>SUM(Mar!L25+Avr!L24)</f>
        <v>1883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3660</v>
      </c>
      <c r="L28">
        <f>SUM(L25+9688)</f>
        <v>11571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howOutlineSymbols="0"/>
  </sheetPr>
  <dimension ref="A1:L28"/>
  <sheetViews>
    <sheetView showOutlineSymbols="0" topLeftCell="A7" workbookViewId="0">
      <selection activeCell="F26" sqref="F26"/>
    </sheetView>
  </sheetViews>
  <sheetFormatPr baseColWidth="10" defaultRowHeight="15" outlineLevelRow="1" outlineLevelCol="2" x14ac:dyDescent="0.25"/>
  <cols>
    <col min="1" max="1" width="12.42578125" customWidth="1"/>
    <col min="2" max="2" width="34.28515625" customWidth="1"/>
    <col min="3" max="3" width="4" customWidth="1"/>
    <col min="4" max="4" width="12" customWidth="1" outlineLevel="1"/>
    <col min="5" max="5" width="5.7109375" customWidth="1" outlineLevel="2"/>
    <col min="6" max="6" width="5.85546875" customWidth="1" outlineLevel="2"/>
    <col min="7" max="7" width="5.7109375" customWidth="1" outlineLevel="1"/>
    <col min="8" max="9" width="11.42578125" style="1"/>
    <col min="10" max="10" width="18.5703125" customWidth="1"/>
  </cols>
  <sheetData>
    <row r="1" spans="1:12" ht="27" thickBot="1" x14ac:dyDescent="0.45">
      <c r="A1" s="51" t="s">
        <v>11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outlineLevel="1" x14ac:dyDescent="0.25">
      <c r="A3" s="5">
        <v>44684</v>
      </c>
      <c r="B3" s="6" t="s">
        <v>67</v>
      </c>
      <c r="C3" s="6">
        <v>1</v>
      </c>
      <c r="D3" s="6">
        <v>88</v>
      </c>
      <c r="E3" s="6">
        <v>3</v>
      </c>
      <c r="F3" s="6">
        <v>34</v>
      </c>
      <c r="G3" s="6">
        <f>SUM(E3*60+F3)</f>
        <v>214</v>
      </c>
      <c r="H3" s="7">
        <f>SUM(D3/G3*60)</f>
        <v>24.672897196261683</v>
      </c>
      <c r="I3" s="7">
        <v>370</v>
      </c>
      <c r="J3" s="6"/>
      <c r="K3" s="6"/>
      <c r="L3" s="6">
        <v>88</v>
      </c>
    </row>
    <row r="4" spans="1:12" outlineLevel="1" x14ac:dyDescent="0.25">
      <c r="A4" s="4">
        <v>44686</v>
      </c>
      <c r="B4" s="2" t="s">
        <v>68</v>
      </c>
      <c r="C4" s="6">
        <v>2</v>
      </c>
      <c r="D4" s="2">
        <v>100</v>
      </c>
      <c r="E4" s="2">
        <v>4</v>
      </c>
      <c r="F4" s="2">
        <v>7</v>
      </c>
      <c r="G4" s="2">
        <f t="shared" ref="G4:G23" si="0">SUM(E4*60+F4)</f>
        <v>247</v>
      </c>
      <c r="H4" s="3">
        <f t="shared" ref="H4:H23" si="1">SUM(D4/G4*60)</f>
        <v>24.291497975708502</v>
      </c>
      <c r="I4" s="7">
        <v>331</v>
      </c>
      <c r="J4" s="2"/>
      <c r="K4" s="2"/>
      <c r="L4" s="2">
        <v>100</v>
      </c>
    </row>
    <row r="5" spans="1:12" outlineLevel="1" x14ac:dyDescent="0.25">
      <c r="A5" s="4">
        <v>44687</v>
      </c>
      <c r="B5" t="s">
        <v>69</v>
      </c>
      <c r="C5" s="6">
        <v>3</v>
      </c>
      <c r="D5" s="2">
        <v>98</v>
      </c>
      <c r="E5" s="2">
        <v>4</v>
      </c>
      <c r="F5" s="2">
        <v>2</v>
      </c>
      <c r="G5" s="2">
        <f t="shared" si="0"/>
        <v>242</v>
      </c>
      <c r="H5" s="3">
        <f t="shared" si="1"/>
        <v>24.297520661157023</v>
      </c>
      <c r="I5" s="3">
        <v>331</v>
      </c>
      <c r="J5" s="2"/>
      <c r="K5" s="2"/>
      <c r="L5" s="2">
        <v>98</v>
      </c>
    </row>
    <row r="6" spans="1:12" outlineLevel="1" x14ac:dyDescent="0.25">
      <c r="A6" s="4">
        <v>44688</v>
      </c>
      <c r="B6" s="2" t="s">
        <v>70</v>
      </c>
      <c r="C6" s="6">
        <v>4</v>
      </c>
      <c r="D6" s="2">
        <v>84</v>
      </c>
      <c r="E6" s="2">
        <v>3</v>
      </c>
      <c r="F6" s="2">
        <v>25</v>
      </c>
      <c r="G6" s="2">
        <f t="shared" si="0"/>
        <v>205</v>
      </c>
      <c r="H6" s="3">
        <f t="shared" si="1"/>
        <v>24.585365853658534</v>
      </c>
      <c r="I6" s="3">
        <v>300</v>
      </c>
      <c r="J6" s="2"/>
      <c r="K6" s="2"/>
      <c r="L6" s="2">
        <v>84</v>
      </c>
    </row>
    <row r="7" spans="1:12" outlineLevel="1" x14ac:dyDescent="0.25">
      <c r="A7" s="4">
        <v>44688</v>
      </c>
      <c r="B7" s="2" t="s">
        <v>45</v>
      </c>
      <c r="C7" s="6">
        <v>5</v>
      </c>
      <c r="D7" s="2">
        <v>22</v>
      </c>
      <c r="E7" s="2">
        <v>1</v>
      </c>
      <c r="F7" s="2">
        <v>12</v>
      </c>
      <c r="G7" s="2">
        <f t="shared" si="0"/>
        <v>72</v>
      </c>
      <c r="H7" s="3">
        <f t="shared" si="1"/>
        <v>18.333333333333336</v>
      </c>
      <c r="I7" s="3">
        <v>83</v>
      </c>
      <c r="J7" s="2"/>
      <c r="K7" s="2"/>
      <c r="L7" s="2">
        <v>22</v>
      </c>
    </row>
    <row r="8" spans="1:12" outlineLevel="1" x14ac:dyDescent="0.25">
      <c r="A8" s="4">
        <v>44689</v>
      </c>
      <c r="B8" s="2" t="s">
        <v>71</v>
      </c>
      <c r="C8" s="6">
        <v>6</v>
      </c>
      <c r="D8" s="2">
        <v>22</v>
      </c>
      <c r="E8" s="2">
        <v>1</v>
      </c>
      <c r="F8" s="2">
        <v>5</v>
      </c>
      <c r="G8" s="2">
        <f t="shared" si="0"/>
        <v>65</v>
      </c>
      <c r="H8" s="3">
        <f t="shared" si="1"/>
        <v>20.30769230769231</v>
      </c>
      <c r="I8" s="3">
        <v>50</v>
      </c>
      <c r="J8" s="2" t="s">
        <v>72</v>
      </c>
      <c r="K8" s="2"/>
      <c r="L8" s="2"/>
    </row>
    <row r="9" spans="1:12" outlineLevel="1" x14ac:dyDescent="0.25">
      <c r="A9" s="4">
        <v>44691</v>
      </c>
      <c r="B9" s="2" t="s">
        <v>73</v>
      </c>
      <c r="C9" s="6">
        <v>7</v>
      </c>
      <c r="D9" s="2">
        <v>164</v>
      </c>
      <c r="E9" s="2">
        <v>6</v>
      </c>
      <c r="F9" s="2">
        <v>42</v>
      </c>
      <c r="G9" s="2">
        <f t="shared" si="0"/>
        <v>402</v>
      </c>
      <c r="H9" s="3">
        <f t="shared" si="1"/>
        <v>24.477611940298505</v>
      </c>
      <c r="I9" s="3">
        <v>752</v>
      </c>
      <c r="J9" s="2"/>
      <c r="K9" s="2">
        <v>164</v>
      </c>
      <c r="L9" s="2"/>
    </row>
    <row r="10" spans="1:12" outlineLevel="1" x14ac:dyDescent="0.25">
      <c r="A10" s="4">
        <v>44695</v>
      </c>
      <c r="B10" s="2" t="s">
        <v>74</v>
      </c>
      <c r="C10" s="6">
        <v>8</v>
      </c>
      <c r="D10" s="2">
        <v>405</v>
      </c>
      <c r="E10" s="2">
        <v>17</v>
      </c>
      <c r="F10" s="2">
        <v>35</v>
      </c>
      <c r="G10" s="2">
        <f t="shared" si="0"/>
        <v>1055</v>
      </c>
      <c r="H10" s="3">
        <f t="shared" si="1"/>
        <v>23.03317535545024</v>
      </c>
      <c r="I10" s="7">
        <v>1795</v>
      </c>
      <c r="J10" s="2"/>
      <c r="K10" s="2">
        <v>402</v>
      </c>
      <c r="L10" s="2"/>
    </row>
    <row r="11" spans="1:12" outlineLevel="1" x14ac:dyDescent="0.25">
      <c r="A11" s="4">
        <v>44700</v>
      </c>
      <c r="B11" s="2" t="s">
        <v>75</v>
      </c>
      <c r="C11" s="6">
        <v>9</v>
      </c>
      <c r="D11" s="2">
        <v>101</v>
      </c>
      <c r="E11" s="2">
        <v>3</v>
      </c>
      <c r="F11" s="2">
        <v>48</v>
      </c>
      <c r="G11" s="2">
        <f t="shared" si="0"/>
        <v>228</v>
      </c>
      <c r="H11" s="3">
        <f t="shared" si="1"/>
        <v>26.578947368421051</v>
      </c>
      <c r="I11" s="3">
        <v>444</v>
      </c>
      <c r="J11" s="2"/>
      <c r="K11" s="2"/>
      <c r="L11" s="2">
        <v>101</v>
      </c>
    </row>
    <row r="12" spans="1:12" outlineLevel="1" x14ac:dyDescent="0.25">
      <c r="A12" s="4">
        <v>44703</v>
      </c>
      <c r="B12" s="6" t="s">
        <v>76</v>
      </c>
      <c r="C12" s="6">
        <v>10</v>
      </c>
      <c r="D12" s="2">
        <v>86</v>
      </c>
      <c r="E12" s="2">
        <v>5</v>
      </c>
      <c r="F12" s="2">
        <v>44</v>
      </c>
      <c r="G12" s="2">
        <f t="shared" si="0"/>
        <v>344</v>
      </c>
      <c r="H12" s="3">
        <f t="shared" si="1"/>
        <v>15</v>
      </c>
      <c r="I12" s="3">
        <v>1003</v>
      </c>
      <c r="J12" s="2" t="s">
        <v>77</v>
      </c>
      <c r="K12" s="2"/>
      <c r="L12" s="2"/>
    </row>
    <row r="13" spans="1:12" outlineLevel="1" x14ac:dyDescent="0.25">
      <c r="A13" s="4">
        <v>44704</v>
      </c>
      <c r="B13" s="2" t="s">
        <v>78</v>
      </c>
      <c r="C13" s="6">
        <v>11</v>
      </c>
      <c r="D13" s="2">
        <v>86</v>
      </c>
      <c r="E13" s="2">
        <v>5</v>
      </c>
      <c r="F13" s="2">
        <v>58</v>
      </c>
      <c r="G13" s="2">
        <f t="shared" si="0"/>
        <v>358</v>
      </c>
      <c r="H13" s="3">
        <f t="shared" si="1"/>
        <v>14.41340782122905</v>
      </c>
      <c r="I13" s="3">
        <v>637</v>
      </c>
      <c r="J13" s="2" t="s">
        <v>77</v>
      </c>
      <c r="K13" s="2"/>
      <c r="L13" s="2"/>
    </row>
    <row r="14" spans="1:12" outlineLevel="1" x14ac:dyDescent="0.25">
      <c r="A14" s="4">
        <v>44705</v>
      </c>
      <c r="B14" s="2" t="s">
        <v>79</v>
      </c>
      <c r="C14" s="6">
        <v>12</v>
      </c>
      <c r="D14" s="2">
        <v>88</v>
      </c>
      <c r="E14" s="2">
        <v>5</v>
      </c>
      <c r="F14" s="2">
        <v>52</v>
      </c>
      <c r="G14" s="2">
        <f t="shared" si="0"/>
        <v>352</v>
      </c>
      <c r="H14" s="3">
        <f t="shared" si="1"/>
        <v>15</v>
      </c>
      <c r="I14" s="3">
        <v>558</v>
      </c>
      <c r="J14" s="2" t="s">
        <v>77</v>
      </c>
      <c r="K14" s="2"/>
      <c r="L14" s="2"/>
    </row>
    <row r="15" spans="1:12" outlineLevel="1" x14ac:dyDescent="0.25">
      <c r="A15" s="4">
        <v>44706</v>
      </c>
      <c r="B15" s="2" t="s">
        <v>80</v>
      </c>
      <c r="C15" s="6">
        <v>13</v>
      </c>
      <c r="D15" s="2">
        <v>80</v>
      </c>
      <c r="E15" s="2">
        <v>5</v>
      </c>
      <c r="F15" s="2">
        <v>39</v>
      </c>
      <c r="G15" s="2">
        <f t="shared" si="0"/>
        <v>339</v>
      </c>
      <c r="H15" s="3">
        <f t="shared" si="1"/>
        <v>14.159292035398231</v>
      </c>
      <c r="I15" s="3">
        <v>837</v>
      </c>
      <c r="J15" s="2" t="s">
        <v>77</v>
      </c>
      <c r="K15" s="2"/>
      <c r="L15" s="2"/>
    </row>
    <row r="16" spans="1:12" outlineLevel="1" x14ac:dyDescent="0.25">
      <c r="A16" s="4">
        <v>44707</v>
      </c>
      <c r="B16" s="2" t="s">
        <v>81</v>
      </c>
      <c r="C16" s="6">
        <v>14</v>
      </c>
      <c r="D16" s="2">
        <v>78</v>
      </c>
      <c r="E16" s="2">
        <v>5</v>
      </c>
      <c r="F16" s="2">
        <v>45</v>
      </c>
      <c r="G16" s="2">
        <f t="shared" si="0"/>
        <v>345</v>
      </c>
      <c r="H16" s="3">
        <f t="shared" si="1"/>
        <v>13.565217391304348</v>
      </c>
      <c r="I16" s="3">
        <v>1022</v>
      </c>
      <c r="J16" s="2" t="s">
        <v>77</v>
      </c>
      <c r="K16" s="2"/>
      <c r="L16" s="2"/>
    </row>
    <row r="17" spans="1:12" outlineLevel="1" x14ac:dyDescent="0.25">
      <c r="A17" s="4">
        <v>44708</v>
      </c>
      <c r="B17" s="2" t="s">
        <v>82</v>
      </c>
      <c r="C17" s="6">
        <v>15</v>
      </c>
      <c r="D17" s="2">
        <v>79</v>
      </c>
      <c r="E17" s="2">
        <v>5</v>
      </c>
      <c r="F17" s="2">
        <v>41</v>
      </c>
      <c r="G17" s="2">
        <f t="shared" si="0"/>
        <v>341</v>
      </c>
      <c r="H17" s="3">
        <f t="shared" si="1"/>
        <v>13.900293255131965</v>
      </c>
      <c r="I17" s="3">
        <v>927</v>
      </c>
      <c r="J17" s="2" t="s">
        <v>77</v>
      </c>
      <c r="K17" s="2"/>
      <c r="L17" s="2"/>
    </row>
    <row r="18" spans="1:12" outlineLevel="1" x14ac:dyDescent="0.25">
      <c r="A18" s="4">
        <v>44709</v>
      </c>
      <c r="B18" s="2" t="s">
        <v>83</v>
      </c>
      <c r="C18" s="6">
        <v>16</v>
      </c>
      <c r="D18" s="2">
        <v>81</v>
      </c>
      <c r="E18" s="2">
        <v>5</v>
      </c>
      <c r="F18" s="2">
        <v>30</v>
      </c>
      <c r="G18" s="2">
        <f t="shared" si="0"/>
        <v>330</v>
      </c>
      <c r="H18" s="3">
        <f t="shared" si="1"/>
        <v>14.727272727272727</v>
      </c>
      <c r="I18" s="3">
        <v>674</v>
      </c>
      <c r="J18" s="2" t="s">
        <v>77</v>
      </c>
      <c r="K18" s="2"/>
      <c r="L18" s="2"/>
    </row>
    <row r="19" spans="1:12" outlineLevel="1" x14ac:dyDescent="0.25">
      <c r="A19" s="4">
        <v>44710</v>
      </c>
      <c r="B19" s="2" t="s">
        <v>84</v>
      </c>
      <c r="C19" s="6">
        <v>17</v>
      </c>
      <c r="D19" s="2">
        <v>101</v>
      </c>
      <c r="E19" s="2">
        <v>7</v>
      </c>
      <c r="F19" s="2"/>
      <c r="G19" s="2">
        <f t="shared" si="0"/>
        <v>420</v>
      </c>
      <c r="H19" s="3">
        <f t="shared" si="1"/>
        <v>14.428571428571429</v>
      </c>
      <c r="I19" s="3">
        <v>522</v>
      </c>
      <c r="J19" s="2" t="s">
        <v>77</v>
      </c>
      <c r="K19" s="2"/>
      <c r="L19" s="2"/>
    </row>
    <row r="20" spans="1:12" outlineLevel="1" x14ac:dyDescent="0.25">
      <c r="A20" s="4">
        <v>44711</v>
      </c>
      <c r="B20" s="2" t="s">
        <v>85</v>
      </c>
      <c r="C20" s="6">
        <v>18</v>
      </c>
      <c r="D20" s="2">
        <v>98</v>
      </c>
      <c r="E20" s="2">
        <v>6</v>
      </c>
      <c r="F20" s="2">
        <v>35</v>
      </c>
      <c r="G20" s="2">
        <f t="shared" si="0"/>
        <v>395</v>
      </c>
      <c r="H20" s="3">
        <f t="shared" si="1"/>
        <v>14.886075949367088</v>
      </c>
      <c r="I20" s="3">
        <v>828</v>
      </c>
      <c r="J20" s="2" t="s">
        <v>77</v>
      </c>
      <c r="K20" s="2"/>
      <c r="L20" s="2"/>
    </row>
    <row r="21" spans="1:12" outlineLevel="1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outlineLevel="1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outlineLevel="1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1861</v>
      </c>
      <c r="I24" s="1">
        <f>SUM(I3:I23)</f>
        <v>11464</v>
      </c>
      <c r="K24">
        <f>SUM(K3:K23)</f>
        <v>566</v>
      </c>
      <c r="L24">
        <f>SUM(L3:L23)</f>
        <v>493</v>
      </c>
    </row>
    <row r="25" spans="1:12" x14ac:dyDescent="0.25">
      <c r="A25" t="s">
        <v>26</v>
      </c>
      <c r="B25">
        <f>SUM(Avr!B25+Mai!D24)</f>
        <v>5561</v>
      </c>
      <c r="H25" s="1">
        <f>SUM(Avr!H25+Mai!I24)</f>
        <v>26956</v>
      </c>
      <c r="K25">
        <f>SUM(Avr!K25+Mai!K24)</f>
        <v>2383</v>
      </c>
      <c r="L25">
        <f>SUM(Avr!L25+Mai!L24)</f>
        <v>2376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4226</v>
      </c>
      <c r="L28">
        <f>SUM(L25+9688)</f>
        <v>12064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3"/>
  <sheetViews>
    <sheetView topLeftCell="B1" workbookViewId="0">
      <selection activeCell="D21" sqref="D21:E21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1" t="s">
        <v>12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44714</v>
      </c>
      <c r="B3" s="6" t="s">
        <v>86</v>
      </c>
      <c r="C3" s="6">
        <v>1</v>
      </c>
      <c r="D3" s="6">
        <v>97</v>
      </c>
      <c r="E3" s="6">
        <v>3</v>
      </c>
      <c r="F3" s="6">
        <v>53</v>
      </c>
      <c r="G3" s="6">
        <f>SUM(E3*60+F3)</f>
        <v>233</v>
      </c>
      <c r="H3" s="7">
        <f>SUM(D3/G3*60)</f>
        <v>24.978540772532188</v>
      </c>
      <c r="I3" s="7">
        <v>399</v>
      </c>
      <c r="J3" s="2"/>
      <c r="K3" s="6">
        <v>97</v>
      </c>
      <c r="L3" s="6"/>
    </row>
    <row r="4" spans="1:12" x14ac:dyDescent="0.25">
      <c r="A4" s="4">
        <v>44716</v>
      </c>
      <c r="B4" s="2" t="s">
        <v>87</v>
      </c>
      <c r="C4" s="6">
        <v>2</v>
      </c>
      <c r="D4" s="2">
        <v>82</v>
      </c>
      <c r="E4" s="2">
        <v>3</v>
      </c>
      <c r="F4" s="2">
        <v>5</v>
      </c>
      <c r="G4" s="6">
        <f t="shared" ref="G4:G20" si="0">SUM(E4*60+F4)</f>
        <v>185</v>
      </c>
      <c r="H4" s="3">
        <f t="shared" ref="H4:H28" si="1">SUM(D4/G4*60)</f>
        <v>26.594594594594597</v>
      </c>
      <c r="I4" s="7">
        <v>366</v>
      </c>
      <c r="J4" s="2"/>
      <c r="K4" s="2">
        <v>82</v>
      </c>
      <c r="L4" s="2"/>
    </row>
    <row r="5" spans="1:12" x14ac:dyDescent="0.25">
      <c r="A5" s="4">
        <v>44716</v>
      </c>
      <c r="B5" s="2" t="s">
        <v>45</v>
      </c>
      <c r="C5" s="6">
        <v>3</v>
      </c>
      <c r="D5" s="2">
        <v>11</v>
      </c>
      <c r="E5" s="2"/>
      <c r="F5" s="2">
        <v>33</v>
      </c>
      <c r="G5" s="6">
        <f t="shared" si="0"/>
        <v>33</v>
      </c>
      <c r="H5" s="3">
        <f t="shared" si="1"/>
        <v>20</v>
      </c>
      <c r="I5" s="3">
        <v>14</v>
      </c>
      <c r="J5" s="2"/>
      <c r="K5" s="2">
        <v>11</v>
      </c>
      <c r="L5" s="2"/>
    </row>
    <row r="6" spans="1:12" x14ac:dyDescent="0.25">
      <c r="A6" s="4">
        <v>44719</v>
      </c>
      <c r="B6" s="2" t="s">
        <v>88</v>
      </c>
      <c r="C6" s="6">
        <v>4</v>
      </c>
      <c r="D6" s="2">
        <v>96</v>
      </c>
      <c r="E6" s="2">
        <v>3</v>
      </c>
      <c r="F6" s="2">
        <v>49</v>
      </c>
      <c r="G6" s="6">
        <f t="shared" si="0"/>
        <v>229</v>
      </c>
      <c r="H6" s="3">
        <f t="shared" si="1"/>
        <v>25.152838427947597</v>
      </c>
      <c r="I6" s="3">
        <v>377</v>
      </c>
      <c r="J6" s="2"/>
      <c r="K6" s="2"/>
      <c r="L6" s="2">
        <v>96</v>
      </c>
    </row>
    <row r="7" spans="1:12" x14ac:dyDescent="0.25">
      <c r="A7" s="4">
        <v>44721</v>
      </c>
      <c r="B7" s="2" t="s">
        <v>89</v>
      </c>
      <c r="C7" s="6">
        <v>5</v>
      </c>
      <c r="D7" s="2">
        <v>106</v>
      </c>
      <c r="E7" s="2">
        <v>4</v>
      </c>
      <c r="F7" s="2">
        <v>27</v>
      </c>
      <c r="G7" s="6">
        <f t="shared" si="0"/>
        <v>267</v>
      </c>
      <c r="H7" s="3">
        <f t="shared" si="1"/>
        <v>23.820224719101127</v>
      </c>
      <c r="I7" s="3">
        <v>434</v>
      </c>
      <c r="J7" s="2"/>
      <c r="K7" s="2"/>
      <c r="L7" s="2">
        <v>106</v>
      </c>
    </row>
    <row r="8" spans="1:12" x14ac:dyDescent="0.25">
      <c r="A8" s="45">
        <v>44725</v>
      </c>
      <c r="B8" s="46" t="s">
        <v>90</v>
      </c>
      <c r="C8" s="47">
        <v>6</v>
      </c>
      <c r="D8" s="46">
        <v>53</v>
      </c>
      <c r="E8" s="46">
        <v>2</v>
      </c>
      <c r="F8" s="46">
        <v>55</v>
      </c>
      <c r="G8" s="47">
        <f t="shared" si="0"/>
        <v>175</v>
      </c>
      <c r="H8" s="48">
        <f t="shared" si="1"/>
        <v>18.171428571428574</v>
      </c>
      <c r="I8" s="48">
        <v>883</v>
      </c>
      <c r="J8" s="46" t="s">
        <v>94</v>
      </c>
      <c r="K8" s="46">
        <v>53</v>
      </c>
      <c r="L8" s="2"/>
    </row>
    <row r="9" spans="1:12" x14ac:dyDescent="0.25">
      <c r="A9" s="45">
        <v>44726</v>
      </c>
      <c r="B9" s="46" t="s">
        <v>91</v>
      </c>
      <c r="C9" s="47">
        <v>7</v>
      </c>
      <c r="D9" s="46">
        <v>91</v>
      </c>
      <c r="E9" s="46">
        <v>5</v>
      </c>
      <c r="F9" s="46">
        <v>10</v>
      </c>
      <c r="G9" s="47">
        <f t="shared" si="0"/>
        <v>310</v>
      </c>
      <c r="H9" s="48">
        <f t="shared" si="1"/>
        <v>17.612903225806448</v>
      </c>
      <c r="I9" s="48">
        <v>2082</v>
      </c>
      <c r="J9" s="46" t="s">
        <v>94</v>
      </c>
      <c r="K9" s="46">
        <v>91</v>
      </c>
      <c r="L9" s="2"/>
    </row>
    <row r="10" spans="1:12" x14ac:dyDescent="0.25">
      <c r="A10" s="45">
        <v>44727</v>
      </c>
      <c r="B10" s="46" t="s">
        <v>92</v>
      </c>
      <c r="C10" s="47">
        <v>8</v>
      </c>
      <c r="D10" s="46">
        <v>70</v>
      </c>
      <c r="E10" s="46">
        <v>3</v>
      </c>
      <c r="F10" s="46">
        <v>47</v>
      </c>
      <c r="G10" s="47">
        <f t="shared" si="0"/>
        <v>227</v>
      </c>
      <c r="H10" s="48">
        <f t="shared" si="1"/>
        <v>18.502202643171806</v>
      </c>
      <c r="I10" s="49">
        <v>1242</v>
      </c>
      <c r="J10" s="46" t="s">
        <v>94</v>
      </c>
      <c r="K10" s="46">
        <v>70</v>
      </c>
      <c r="L10" s="2"/>
    </row>
    <row r="11" spans="1:12" x14ac:dyDescent="0.25">
      <c r="A11" s="45">
        <v>44728</v>
      </c>
      <c r="B11" s="46" t="s">
        <v>93</v>
      </c>
      <c r="C11" s="47">
        <v>9</v>
      </c>
      <c r="D11" s="46">
        <v>47</v>
      </c>
      <c r="E11" s="46">
        <v>2</v>
      </c>
      <c r="F11" s="46">
        <v>23</v>
      </c>
      <c r="G11" s="47">
        <f t="shared" si="0"/>
        <v>143</v>
      </c>
      <c r="H11" s="48">
        <f t="shared" si="1"/>
        <v>19.72027972027972</v>
      </c>
      <c r="I11" s="48">
        <v>967</v>
      </c>
      <c r="J11" s="46" t="s">
        <v>94</v>
      </c>
      <c r="K11" s="46">
        <v>47</v>
      </c>
      <c r="L11" s="2"/>
    </row>
    <row r="12" spans="1:12" x14ac:dyDescent="0.25">
      <c r="A12" s="4">
        <v>44741</v>
      </c>
      <c r="B12" s="2" t="s">
        <v>95</v>
      </c>
      <c r="C12" s="6">
        <v>10</v>
      </c>
      <c r="D12" s="2">
        <v>97</v>
      </c>
      <c r="E12" s="2">
        <v>3</v>
      </c>
      <c r="F12" s="2">
        <v>51</v>
      </c>
      <c r="G12" s="6">
        <f t="shared" si="0"/>
        <v>231</v>
      </c>
      <c r="H12" s="3">
        <f t="shared" si="1"/>
        <v>25.194805194805195</v>
      </c>
      <c r="I12" s="3">
        <v>420</v>
      </c>
      <c r="J12" s="2"/>
      <c r="K12" s="2"/>
      <c r="L12" s="2">
        <v>97</v>
      </c>
    </row>
    <row r="13" spans="1:12" x14ac:dyDescent="0.25">
      <c r="A13" s="4"/>
      <c r="B13" s="2"/>
      <c r="C13" s="6">
        <v>11</v>
      </c>
      <c r="D13" s="2"/>
      <c r="E13" s="2"/>
      <c r="F13" s="2"/>
      <c r="G13" s="6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4"/>
      <c r="C14" s="6">
        <v>12</v>
      </c>
      <c r="D14" s="2"/>
      <c r="E14" s="2"/>
      <c r="F14" s="2"/>
      <c r="G14" s="6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9"/>
      <c r="C15" s="30">
        <v>13</v>
      </c>
      <c r="D15" s="29"/>
      <c r="E15" s="29"/>
      <c r="F15" s="29"/>
      <c r="G15" s="30">
        <f t="shared" si="0"/>
        <v>0</v>
      </c>
      <c r="H15" s="31" t="e">
        <f t="shared" si="1"/>
        <v>#DIV/0!</v>
      </c>
      <c r="I15" s="31"/>
      <c r="J15" s="29"/>
      <c r="K15" s="2"/>
      <c r="L15" s="2"/>
    </row>
    <row r="16" spans="1:12" x14ac:dyDescent="0.25">
      <c r="A16" s="4"/>
      <c r="B16" s="29"/>
      <c r="C16" s="30">
        <v>14</v>
      </c>
      <c r="D16" s="29"/>
      <c r="E16" s="29"/>
      <c r="F16" s="29"/>
      <c r="G16" s="30">
        <f t="shared" si="0"/>
        <v>0</v>
      </c>
      <c r="H16" s="31" t="e">
        <f t="shared" si="1"/>
        <v>#DIV/0!</v>
      </c>
      <c r="I16" s="31"/>
      <c r="J16" s="29"/>
      <c r="K16" s="2"/>
      <c r="L16" s="2"/>
    </row>
    <row r="17" spans="1:14" x14ac:dyDescent="0.25">
      <c r="A17" s="4"/>
      <c r="B17" s="29"/>
      <c r="C17" s="30">
        <v>15</v>
      </c>
      <c r="D17" s="29"/>
      <c r="E17" s="29"/>
      <c r="F17" s="29"/>
      <c r="G17" s="30">
        <f t="shared" si="0"/>
        <v>0</v>
      </c>
      <c r="H17" s="31" t="e">
        <f t="shared" si="1"/>
        <v>#DIV/0!</v>
      </c>
      <c r="I17" s="31"/>
      <c r="J17" s="29"/>
      <c r="K17" s="2"/>
      <c r="L17" s="2"/>
    </row>
    <row r="18" spans="1:14" x14ac:dyDescent="0.25">
      <c r="A18" s="41"/>
      <c r="B18" s="29"/>
      <c r="C18" s="30">
        <v>16</v>
      </c>
      <c r="D18" s="29"/>
      <c r="E18" s="29"/>
      <c r="F18" s="29"/>
      <c r="G18" s="30">
        <f t="shared" si="0"/>
        <v>0</v>
      </c>
      <c r="H18" s="31" t="e">
        <f t="shared" si="1"/>
        <v>#DIV/0!</v>
      </c>
      <c r="I18" s="31"/>
      <c r="J18" s="29"/>
      <c r="K18" s="2"/>
      <c r="L18" s="2"/>
    </row>
    <row r="19" spans="1:14" x14ac:dyDescent="0.25">
      <c r="A19" s="4"/>
      <c r="B19" s="29"/>
      <c r="C19" s="30">
        <v>17</v>
      </c>
      <c r="D19" s="29"/>
      <c r="E19" s="29"/>
      <c r="F19" s="29"/>
      <c r="G19" s="30">
        <f t="shared" si="0"/>
        <v>0</v>
      </c>
      <c r="H19" s="31" t="e">
        <f t="shared" si="1"/>
        <v>#DIV/0!</v>
      </c>
      <c r="I19" s="31"/>
      <c r="J19" s="29"/>
      <c r="K19" s="2"/>
      <c r="L19" s="2"/>
    </row>
    <row r="20" spans="1:14" x14ac:dyDescent="0.25">
      <c r="A20" s="4"/>
      <c r="B20" s="29"/>
      <c r="C20" s="30">
        <v>18</v>
      </c>
      <c r="D20" s="29"/>
      <c r="E20" s="29"/>
      <c r="F20" s="29"/>
      <c r="G20" s="30">
        <f t="shared" si="0"/>
        <v>0</v>
      </c>
      <c r="H20" s="31" t="e">
        <f t="shared" si="1"/>
        <v>#DIV/0!</v>
      </c>
      <c r="I20" s="31"/>
      <c r="J20" s="29"/>
      <c r="K20" s="2"/>
      <c r="L20" s="2"/>
    </row>
    <row r="21" spans="1:14" x14ac:dyDescent="0.25">
      <c r="A21" s="4"/>
      <c r="B21" s="29"/>
      <c r="C21" s="30">
        <v>19</v>
      </c>
      <c r="D21" s="29"/>
      <c r="E21" s="29"/>
      <c r="F21" s="29"/>
      <c r="G21" s="29">
        <f t="shared" ref="G21:G28" si="2">SUM(E21*60+F21)</f>
        <v>0</v>
      </c>
      <c r="H21" s="31" t="e">
        <f t="shared" si="1"/>
        <v>#DIV/0!</v>
      </c>
      <c r="I21" s="31"/>
      <c r="J21" s="29"/>
      <c r="K21" s="2"/>
      <c r="L21" s="2"/>
    </row>
    <row r="22" spans="1:14" x14ac:dyDescent="0.25">
      <c r="A22" s="4"/>
      <c r="B22" s="29"/>
      <c r="C22" s="30">
        <v>20</v>
      </c>
      <c r="D22" s="29"/>
      <c r="E22" s="29"/>
      <c r="F22" s="29"/>
      <c r="G22" s="29">
        <f t="shared" si="2"/>
        <v>0</v>
      </c>
      <c r="H22" s="31" t="e">
        <f t="shared" si="1"/>
        <v>#DIV/0!</v>
      </c>
      <c r="I22" s="31"/>
      <c r="J22" s="29"/>
      <c r="K22" s="2"/>
      <c r="L22" s="2"/>
    </row>
    <row r="23" spans="1:14" x14ac:dyDescent="0.25">
      <c r="A23" s="4"/>
      <c r="B23" s="29"/>
      <c r="C23" s="30">
        <v>21</v>
      </c>
      <c r="D23" s="29"/>
      <c r="E23" s="29"/>
      <c r="F23" s="29"/>
      <c r="G23" s="29">
        <f t="shared" si="2"/>
        <v>0</v>
      </c>
      <c r="H23" s="31" t="e">
        <f t="shared" si="1"/>
        <v>#DIV/0!</v>
      </c>
      <c r="I23" s="31"/>
      <c r="J23" s="29"/>
      <c r="K23" s="2"/>
      <c r="L23" s="2"/>
      <c r="N23" s="1"/>
    </row>
    <row r="24" spans="1:14" x14ac:dyDescent="0.25">
      <c r="A24" s="4"/>
      <c r="B24" s="29"/>
      <c r="C24" s="30">
        <v>22</v>
      </c>
      <c r="D24" s="29"/>
      <c r="E24" s="29"/>
      <c r="F24" s="29"/>
      <c r="G24" s="29">
        <f t="shared" si="2"/>
        <v>0</v>
      </c>
      <c r="H24" s="31" t="e">
        <f t="shared" si="1"/>
        <v>#DIV/0!</v>
      </c>
      <c r="I24" s="31"/>
      <c r="J24" s="29"/>
      <c r="K24" s="2"/>
      <c r="L24" s="2"/>
    </row>
    <row r="25" spans="1:14" x14ac:dyDescent="0.25">
      <c r="A25" s="4"/>
      <c r="B25" s="2"/>
      <c r="C25" s="6">
        <v>23</v>
      </c>
      <c r="D25" s="2"/>
      <c r="E25" s="2"/>
      <c r="F25" s="2"/>
      <c r="G25" s="2">
        <f t="shared" si="2"/>
        <v>0</v>
      </c>
      <c r="H25" s="3" t="e">
        <f t="shared" si="1"/>
        <v>#DIV/0!</v>
      </c>
      <c r="I25" s="3"/>
      <c r="J25" s="2"/>
      <c r="K25" s="2"/>
      <c r="L25" s="2"/>
    </row>
    <row r="26" spans="1:14" x14ac:dyDescent="0.25">
      <c r="A26" s="4"/>
      <c r="B26" s="4"/>
      <c r="C26" s="6">
        <v>24</v>
      </c>
      <c r="D26" s="2"/>
      <c r="E26" s="2"/>
      <c r="F26" s="2"/>
      <c r="G26" s="2">
        <f t="shared" si="2"/>
        <v>0</v>
      </c>
      <c r="H26" s="3" t="e">
        <f t="shared" si="1"/>
        <v>#DIV/0!</v>
      </c>
      <c r="I26" s="3"/>
      <c r="J26" s="2"/>
      <c r="K26" s="2"/>
      <c r="L26" s="2"/>
    </row>
    <row r="27" spans="1:14" x14ac:dyDescent="0.25">
      <c r="A27" s="4"/>
      <c r="B27" s="2"/>
      <c r="C27" s="6">
        <v>25</v>
      </c>
      <c r="D27" s="2"/>
      <c r="E27" s="2"/>
      <c r="F27" s="2"/>
      <c r="G27" s="2">
        <f t="shared" si="2"/>
        <v>0</v>
      </c>
      <c r="H27" s="3" t="e">
        <f t="shared" si="1"/>
        <v>#DIV/0!</v>
      </c>
      <c r="I27" s="3"/>
      <c r="J27" s="2"/>
      <c r="K27" s="2"/>
      <c r="L27" s="2"/>
    </row>
    <row r="28" spans="1:14" x14ac:dyDescent="0.25">
      <c r="A28" s="4"/>
      <c r="B28" s="2"/>
      <c r="C28" s="2">
        <v>26</v>
      </c>
      <c r="D28" s="2"/>
      <c r="E28" s="2"/>
      <c r="F28" s="2"/>
      <c r="G28" s="2">
        <f t="shared" si="2"/>
        <v>0</v>
      </c>
      <c r="H28" s="3" t="e">
        <f t="shared" si="1"/>
        <v>#DIV/0!</v>
      </c>
      <c r="I28" s="3"/>
      <c r="J28" s="2"/>
      <c r="K28" s="2"/>
      <c r="L28" s="2"/>
    </row>
    <row r="29" spans="1:14" x14ac:dyDescent="0.25">
      <c r="D29">
        <f>SUM(D3:D28)</f>
        <v>750</v>
      </c>
      <c r="I29" s="1">
        <f>SUM(I3:I28)</f>
        <v>7184</v>
      </c>
      <c r="K29">
        <f>SUM(K3:K28)</f>
        <v>451</v>
      </c>
      <c r="L29">
        <f>SUM(L3:L28)</f>
        <v>299</v>
      </c>
    </row>
    <row r="30" spans="1:14" x14ac:dyDescent="0.25">
      <c r="A30" t="s">
        <v>26</v>
      </c>
      <c r="B30">
        <f>SUM(Mai!B25+Juin!D29)</f>
        <v>6311</v>
      </c>
      <c r="H30" s="1">
        <f>SUM(Mai!H25+Juin!I29)</f>
        <v>34140</v>
      </c>
      <c r="K30">
        <f>SUM(Mai!K25+Juin!K29)</f>
        <v>2834</v>
      </c>
      <c r="L30">
        <f>SUM(Mai!L25+Juin!L29)</f>
        <v>2675</v>
      </c>
    </row>
    <row r="32" spans="1:14" x14ac:dyDescent="0.25">
      <c r="J32" t="s">
        <v>24</v>
      </c>
      <c r="K32">
        <v>1843</v>
      </c>
      <c r="L32">
        <v>9688</v>
      </c>
    </row>
    <row r="33" spans="10:12" x14ac:dyDescent="0.25">
      <c r="J33" t="s">
        <v>25</v>
      </c>
      <c r="K33">
        <f>SUM(K30+1843)</f>
        <v>4677</v>
      </c>
      <c r="L33">
        <f>SUM(L30+9688)</f>
        <v>12363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"/>
  <sheetViews>
    <sheetView topLeftCell="A13" workbookViewId="0">
      <selection activeCell="D31" sqref="D31"/>
    </sheetView>
  </sheetViews>
  <sheetFormatPr baseColWidth="10" defaultRowHeight="15" x14ac:dyDescent="0.25"/>
  <cols>
    <col min="1" max="1" width="12.710937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1" t="s">
        <v>13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44744</v>
      </c>
      <c r="B3" s="6" t="s">
        <v>96</v>
      </c>
      <c r="C3" s="6">
        <v>1</v>
      </c>
      <c r="D3" s="6">
        <v>83</v>
      </c>
      <c r="E3" s="6">
        <v>3</v>
      </c>
      <c r="F3" s="6">
        <v>55</v>
      </c>
      <c r="G3" s="6">
        <f>SUM(E3*60+F3)</f>
        <v>235</v>
      </c>
      <c r="H3" s="7">
        <f>SUM(D3/G3*60)</f>
        <v>21.191489361702128</v>
      </c>
      <c r="I3" s="7">
        <v>372</v>
      </c>
      <c r="J3" s="6"/>
      <c r="K3" s="6"/>
      <c r="L3" s="6">
        <v>83</v>
      </c>
    </row>
    <row r="4" spans="1:12" x14ac:dyDescent="0.25">
      <c r="A4" s="4">
        <v>44745</v>
      </c>
      <c r="B4" s="2" t="s">
        <v>97</v>
      </c>
      <c r="C4" s="6">
        <v>2</v>
      </c>
      <c r="D4" s="2">
        <v>34</v>
      </c>
      <c r="E4" s="2">
        <v>1</v>
      </c>
      <c r="F4" s="2">
        <v>58</v>
      </c>
      <c r="G4" s="2">
        <f t="shared" ref="G4:G25" si="0">SUM(E4*60+F4)</f>
        <v>118</v>
      </c>
      <c r="H4" s="3">
        <f t="shared" ref="H4:H25" si="1">SUM(D4/G4*60)</f>
        <v>17.288135593220339</v>
      </c>
      <c r="I4" s="7">
        <v>112</v>
      </c>
      <c r="J4" s="2"/>
      <c r="K4" s="2"/>
      <c r="L4" s="2"/>
    </row>
    <row r="5" spans="1:12" x14ac:dyDescent="0.25">
      <c r="A5" s="4">
        <v>44747</v>
      </c>
      <c r="B5" s="2" t="s">
        <v>98</v>
      </c>
      <c r="C5" s="6">
        <v>3</v>
      </c>
      <c r="D5" s="2">
        <v>96</v>
      </c>
      <c r="E5" s="2">
        <v>3</v>
      </c>
      <c r="F5" s="2">
        <v>54</v>
      </c>
      <c r="G5" s="2">
        <f t="shared" si="0"/>
        <v>234</v>
      </c>
      <c r="H5" s="3">
        <f t="shared" si="1"/>
        <v>24.615384615384613</v>
      </c>
      <c r="I5" s="3">
        <v>411</v>
      </c>
      <c r="J5" s="2"/>
      <c r="K5" s="2"/>
      <c r="L5" s="2">
        <v>96</v>
      </c>
    </row>
    <row r="6" spans="1:12" x14ac:dyDescent="0.25">
      <c r="A6" s="4">
        <v>44749</v>
      </c>
      <c r="B6" s="29" t="s">
        <v>99</v>
      </c>
      <c r="C6" s="30">
        <v>4</v>
      </c>
      <c r="D6" s="29">
        <v>86</v>
      </c>
      <c r="E6" s="29">
        <v>3</v>
      </c>
      <c r="F6" s="29">
        <v>35</v>
      </c>
      <c r="G6" s="29">
        <f t="shared" si="0"/>
        <v>215</v>
      </c>
      <c r="H6" s="31">
        <f t="shared" si="1"/>
        <v>24</v>
      </c>
      <c r="I6" s="31">
        <v>452</v>
      </c>
      <c r="J6" s="29"/>
      <c r="K6" s="2"/>
      <c r="L6" s="2">
        <v>86</v>
      </c>
    </row>
    <row r="7" spans="1:12" x14ac:dyDescent="0.25">
      <c r="A7" s="4">
        <v>44751</v>
      </c>
      <c r="B7" s="29" t="s">
        <v>100</v>
      </c>
      <c r="C7" s="30">
        <v>5</v>
      </c>
      <c r="D7" s="29">
        <v>82</v>
      </c>
      <c r="E7" s="29">
        <v>3</v>
      </c>
      <c r="F7" s="29">
        <v>4</v>
      </c>
      <c r="G7" s="29">
        <f t="shared" si="0"/>
        <v>184</v>
      </c>
      <c r="H7" s="31">
        <f t="shared" si="1"/>
        <v>26.739130434782609</v>
      </c>
      <c r="I7" s="31">
        <v>284</v>
      </c>
      <c r="J7" s="29"/>
      <c r="K7" s="2"/>
      <c r="L7" s="2">
        <v>82</v>
      </c>
    </row>
    <row r="8" spans="1:12" x14ac:dyDescent="0.25">
      <c r="A8" s="4">
        <v>44754</v>
      </c>
      <c r="B8" s="29" t="s">
        <v>101</v>
      </c>
      <c r="C8" s="30">
        <v>7</v>
      </c>
      <c r="D8" s="29">
        <v>95</v>
      </c>
      <c r="E8" s="29">
        <v>3</v>
      </c>
      <c r="F8" s="29">
        <v>43</v>
      </c>
      <c r="G8" s="29">
        <f t="shared" ref="G8:G24" si="2">SUM(E8*60+F8)</f>
        <v>223</v>
      </c>
      <c r="H8" s="31">
        <f t="shared" ref="H8:H24" si="3">SUM(D8/G8*60)</f>
        <v>25.560538116591928</v>
      </c>
      <c r="I8" s="31">
        <v>375</v>
      </c>
      <c r="J8" s="29"/>
      <c r="K8" s="2"/>
      <c r="L8" s="2">
        <v>95</v>
      </c>
    </row>
    <row r="9" spans="1:12" x14ac:dyDescent="0.25">
      <c r="A9" s="4">
        <v>44757</v>
      </c>
      <c r="B9" s="29" t="s">
        <v>102</v>
      </c>
      <c r="C9" s="30">
        <v>8</v>
      </c>
      <c r="D9" s="29">
        <v>45</v>
      </c>
      <c r="E9" s="29">
        <v>1</v>
      </c>
      <c r="F9" s="29">
        <v>45</v>
      </c>
      <c r="G9" s="29">
        <f t="shared" si="2"/>
        <v>105</v>
      </c>
      <c r="H9" s="31">
        <f t="shared" si="3"/>
        <v>25.714285714285712</v>
      </c>
      <c r="I9" s="31">
        <v>85</v>
      </c>
      <c r="J9" s="29"/>
      <c r="K9" s="2"/>
      <c r="L9" s="2">
        <v>45</v>
      </c>
    </row>
    <row r="10" spans="1:12" s="33" customFormat="1" x14ac:dyDescent="0.25">
      <c r="A10" s="4">
        <v>44758</v>
      </c>
      <c r="B10" s="29" t="s">
        <v>100</v>
      </c>
      <c r="C10" s="30">
        <v>9</v>
      </c>
      <c r="D10" s="29">
        <v>85</v>
      </c>
      <c r="E10" s="29">
        <v>3</v>
      </c>
      <c r="F10" s="29">
        <v>16</v>
      </c>
      <c r="G10" s="29">
        <f t="shared" si="2"/>
        <v>196</v>
      </c>
      <c r="H10" s="31">
        <f t="shared" si="3"/>
        <v>26.020408163265305</v>
      </c>
      <c r="I10" s="32">
        <v>318</v>
      </c>
      <c r="J10" s="29"/>
      <c r="K10" s="2"/>
      <c r="L10" s="2">
        <v>85</v>
      </c>
    </row>
    <row r="11" spans="1:12" s="33" customFormat="1" x14ac:dyDescent="0.25">
      <c r="A11" s="4">
        <v>44759</v>
      </c>
      <c r="B11" s="29" t="s">
        <v>103</v>
      </c>
      <c r="C11" s="30">
        <v>10</v>
      </c>
      <c r="D11" s="29">
        <v>50</v>
      </c>
      <c r="E11" s="29">
        <v>1</v>
      </c>
      <c r="F11" s="29">
        <v>48</v>
      </c>
      <c r="G11" s="29">
        <f t="shared" si="2"/>
        <v>108</v>
      </c>
      <c r="H11" s="31">
        <f t="shared" si="3"/>
        <v>27.777777777777779</v>
      </c>
      <c r="I11" s="31">
        <v>124</v>
      </c>
      <c r="J11" s="29"/>
      <c r="K11" s="2"/>
      <c r="L11" s="2">
        <v>50</v>
      </c>
    </row>
    <row r="12" spans="1:12" s="33" customFormat="1" x14ac:dyDescent="0.25">
      <c r="A12" s="4">
        <v>44761</v>
      </c>
      <c r="B12" s="29" t="s">
        <v>104</v>
      </c>
      <c r="C12" s="30">
        <v>11</v>
      </c>
      <c r="D12" s="29">
        <v>84</v>
      </c>
      <c r="E12" s="29">
        <v>3</v>
      </c>
      <c r="F12" s="29">
        <v>33</v>
      </c>
      <c r="G12" s="29">
        <f t="shared" si="2"/>
        <v>213</v>
      </c>
      <c r="H12" s="31">
        <f t="shared" si="3"/>
        <v>23.661971830985912</v>
      </c>
      <c r="I12" s="31">
        <v>409</v>
      </c>
      <c r="J12" s="29"/>
      <c r="K12" s="2"/>
      <c r="L12" s="2">
        <v>84</v>
      </c>
    </row>
    <row r="13" spans="1:12" s="33" customFormat="1" x14ac:dyDescent="0.25">
      <c r="A13" s="4">
        <v>44763</v>
      </c>
      <c r="B13" s="29" t="s">
        <v>105</v>
      </c>
      <c r="C13" s="30">
        <v>12</v>
      </c>
      <c r="D13" s="29">
        <v>101</v>
      </c>
      <c r="E13" s="29">
        <v>3</v>
      </c>
      <c r="F13" s="29">
        <v>59</v>
      </c>
      <c r="G13" s="29">
        <f t="shared" si="2"/>
        <v>239</v>
      </c>
      <c r="H13" s="31">
        <f t="shared" si="3"/>
        <v>25.355648535564853</v>
      </c>
      <c r="I13" s="31">
        <v>497</v>
      </c>
      <c r="J13" s="29"/>
      <c r="K13" s="2"/>
      <c r="L13" s="2">
        <v>101</v>
      </c>
    </row>
    <row r="14" spans="1:12" s="33" customFormat="1" x14ac:dyDescent="0.25">
      <c r="A14" s="4">
        <v>44765</v>
      </c>
      <c r="B14" s="46" t="s">
        <v>107</v>
      </c>
      <c r="C14" s="30">
        <v>13</v>
      </c>
      <c r="D14" s="29">
        <v>65</v>
      </c>
      <c r="E14" s="29">
        <v>4</v>
      </c>
      <c r="F14" s="29"/>
      <c r="G14" s="29">
        <f t="shared" si="2"/>
        <v>240</v>
      </c>
      <c r="H14" s="31">
        <f t="shared" si="3"/>
        <v>16.25</v>
      </c>
      <c r="I14" s="31">
        <v>32</v>
      </c>
      <c r="J14" s="29" t="s">
        <v>106</v>
      </c>
      <c r="K14" s="2"/>
      <c r="L14" s="2"/>
    </row>
    <row r="15" spans="1:12" s="33" customFormat="1" x14ac:dyDescent="0.25">
      <c r="A15" s="4">
        <v>44766</v>
      </c>
      <c r="B15" s="46" t="s">
        <v>108</v>
      </c>
      <c r="C15" s="30">
        <v>14</v>
      </c>
      <c r="D15" s="29">
        <v>35</v>
      </c>
      <c r="E15" s="29">
        <v>2</v>
      </c>
      <c r="F15" s="29">
        <v>32</v>
      </c>
      <c r="G15" s="29">
        <f t="shared" si="2"/>
        <v>152</v>
      </c>
      <c r="H15" s="31">
        <f t="shared" si="3"/>
        <v>13.815789473684211</v>
      </c>
      <c r="I15" s="31">
        <v>104</v>
      </c>
      <c r="J15" s="29" t="s">
        <v>106</v>
      </c>
      <c r="K15" s="2"/>
      <c r="L15" s="2"/>
    </row>
    <row r="16" spans="1:12" s="33" customFormat="1" x14ac:dyDescent="0.25">
      <c r="A16" s="4">
        <v>44767</v>
      </c>
      <c r="B16" s="46" t="s">
        <v>109</v>
      </c>
      <c r="C16" s="30">
        <v>15</v>
      </c>
      <c r="D16" s="29">
        <v>38</v>
      </c>
      <c r="E16" s="29">
        <v>2</v>
      </c>
      <c r="F16" s="29">
        <v>54</v>
      </c>
      <c r="G16" s="29">
        <f t="shared" si="2"/>
        <v>174</v>
      </c>
      <c r="H16" s="31">
        <f t="shared" si="3"/>
        <v>13.103448275862069</v>
      </c>
      <c r="I16" s="31">
        <v>218</v>
      </c>
      <c r="J16" s="29" t="s">
        <v>106</v>
      </c>
      <c r="K16" s="2"/>
      <c r="L16" s="2"/>
    </row>
    <row r="17" spans="1:12" s="33" customFormat="1" x14ac:dyDescent="0.25">
      <c r="A17" s="4">
        <v>44768</v>
      </c>
      <c r="B17" s="46" t="s">
        <v>110</v>
      </c>
      <c r="C17" s="30">
        <v>16</v>
      </c>
      <c r="D17" s="29">
        <v>45</v>
      </c>
      <c r="E17" s="29">
        <v>3</v>
      </c>
      <c r="F17" s="29">
        <v>13</v>
      </c>
      <c r="G17" s="29">
        <f t="shared" si="2"/>
        <v>193</v>
      </c>
      <c r="H17" s="31">
        <f t="shared" si="3"/>
        <v>13.989637305699482</v>
      </c>
      <c r="I17" s="31">
        <v>309</v>
      </c>
      <c r="J17" s="29" t="s">
        <v>106</v>
      </c>
      <c r="K17" s="2"/>
      <c r="L17" s="2"/>
    </row>
    <row r="18" spans="1:12" x14ac:dyDescent="0.25">
      <c r="A18" s="4">
        <v>44769</v>
      </c>
      <c r="B18" s="46" t="s">
        <v>114</v>
      </c>
      <c r="C18" s="30">
        <v>17</v>
      </c>
      <c r="D18" s="29">
        <v>42</v>
      </c>
      <c r="E18" s="29">
        <v>3</v>
      </c>
      <c r="F18" s="29">
        <v>2</v>
      </c>
      <c r="G18" s="29">
        <f t="shared" si="2"/>
        <v>182</v>
      </c>
      <c r="H18" s="31">
        <f t="shared" si="3"/>
        <v>13.846153846153847</v>
      </c>
      <c r="I18" s="31">
        <v>294</v>
      </c>
      <c r="J18" s="29" t="s">
        <v>106</v>
      </c>
      <c r="K18" s="2"/>
      <c r="L18" s="2"/>
    </row>
    <row r="19" spans="1:12" x14ac:dyDescent="0.25">
      <c r="A19" s="4">
        <v>44770</v>
      </c>
      <c r="B19" s="46" t="s">
        <v>113</v>
      </c>
      <c r="C19" s="30">
        <v>18</v>
      </c>
      <c r="D19" s="29">
        <v>49</v>
      </c>
      <c r="E19" s="29">
        <v>3</v>
      </c>
      <c r="F19" s="29">
        <v>28</v>
      </c>
      <c r="G19" s="29">
        <f t="shared" si="2"/>
        <v>208</v>
      </c>
      <c r="H19" s="31">
        <f t="shared" si="3"/>
        <v>14.134615384615385</v>
      </c>
      <c r="I19" s="31">
        <v>350</v>
      </c>
      <c r="J19" s="29" t="s">
        <v>106</v>
      </c>
      <c r="K19" s="2"/>
      <c r="L19" s="2"/>
    </row>
    <row r="20" spans="1:12" x14ac:dyDescent="0.25">
      <c r="A20" s="4">
        <v>44771</v>
      </c>
      <c r="B20" s="46" t="s">
        <v>112</v>
      </c>
      <c r="C20" s="6">
        <v>19</v>
      </c>
      <c r="D20" s="2">
        <v>72</v>
      </c>
      <c r="E20" s="2">
        <v>5</v>
      </c>
      <c r="F20" s="2"/>
      <c r="G20" s="2">
        <f t="shared" si="2"/>
        <v>300</v>
      </c>
      <c r="H20" s="3">
        <f t="shared" si="3"/>
        <v>14.399999999999999</v>
      </c>
      <c r="I20" s="3">
        <v>218</v>
      </c>
      <c r="J20" s="29" t="s">
        <v>106</v>
      </c>
      <c r="K20" s="2"/>
      <c r="L20" s="2"/>
    </row>
    <row r="21" spans="1:12" x14ac:dyDescent="0.25">
      <c r="A21" s="4">
        <v>44772</v>
      </c>
      <c r="B21" s="46" t="s">
        <v>111</v>
      </c>
      <c r="C21" s="6">
        <v>20</v>
      </c>
      <c r="D21" s="2">
        <v>32</v>
      </c>
      <c r="E21" s="2">
        <v>2</v>
      </c>
      <c r="F21" s="2">
        <v>16</v>
      </c>
      <c r="G21" s="2">
        <f t="shared" si="2"/>
        <v>136</v>
      </c>
      <c r="H21" s="3">
        <f t="shared" si="3"/>
        <v>14.117647058823529</v>
      </c>
      <c r="I21" s="3">
        <v>209</v>
      </c>
      <c r="J21" s="29" t="s">
        <v>106</v>
      </c>
      <c r="K21" s="2"/>
      <c r="L21" s="2"/>
    </row>
    <row r="22" spans="1:12" x14ac:dyDescent="0.25">
      <c r="A22" s="4"/>
      <c r="B22" s="29"/>
      <c r="C22" s="6">
        <v>21</v>
      </c>
      <c r="D22" s="2"/>
      <c r="E22" s="2"/>
      <c r="F22" s="2"/>
      <c r="G22" s="2">
        <f t="shared" si="2"/>
        <v>0</v>
      </c>
      <c r="H22" s="3" t="e">
        <f t="shared" si="3"/>
        <v>#DIV/0!</v>
      </c>
      <c r="I22" s="3"/>
      <c r="J22" s="29"/>
      <c r="K22" s="2"/>
      <c r="L22" s="2"/>
    </row>
    <row r="23" spans="1:12" x14ac:dyDescent="0.25">
      <c r="A23" s="4"/>
      <c r="B23" s="2"/>
      <c r="C23" s="6">
        <v>22</v>
      </c>
      <c r="D23" s="2"/>
      <c r="E23" s="2"/>
      <c r="F23" s="2"/>
      <c r="G23" s="2">
        <f t="shared" si="2"/>
        <v>0</v>
      </c>
      <c r="H23" s="3" t="e">
        <f t="shared" si="3"/>
        <v>#DIV/0!</v>
      </c>
      <c r="I23" s="3"/>
      <c r="J23" s="29"/>
      <c r="K23" s="2"/>
      <c r="L23" s="2"/>
    </row>
    <row r="24" spans="1:12" x14ac:dyDescent="0.25">
      <c r="A24" s="4"/>
      <c r="B24" s="2"/>
      <c r="C24" s="6">
        <v>23</v>
      </c>
      <c r="D24" s="2"/>
      <c r="E24" s="2"/>
      <c r="F24" s="2"/>
      <c r="G24" s="2">
        <f t="shared" si="2"/>
        <v>0</v>
      </c>
      <c r="H24" s="3" t="e">
        <f t="shared" si="3"/>
        <v>#DIV/0!</v>
      </c>
      <c r="I24" s="3"/>
      <c r="J24" s="2"/>
      <c r="K24" s="42"/>
      <c r="L24" s="42"/>
    </row>
    <row r="25" spans="1:12" x14ac:dyDescent="0.25">
      <c r="A25" s="4"/>
      <c r="B25" s="2"/>
      <c r="C25" s="2">
        <v>24</v>
      </c>
      <c r="D25" s="2"/>
      <c r="E25" s="2"/>
      <c r="F25" s="2"/>
      <c r="G25" s="2">
        <f t="shared" si="0"/>
        <v>0</v>
      </c>
      <c r="H25" s="3" t="e">
        <f t="shared" si="1"/>
        <v>#DIV/0!</v>
      </c>
      <c r="I25" s="3"/>
      <c r="J25" s="38"/>
      <c r="K25" s="2"/>
      <c r="L25" s="43"/>
    </row>
    <row r="26" spans="1:12" x14ac:dyDescent="0.25">
      <c r="D26">
        <f>SUM(D3:D25)</f>
        <v>1219</v>
      </c>
      <c r="I26" s="1">
        <f>SUM(I3:I25)</f>
        <v>5173</v>
      </c>
      <c r="K26" s="1">
        <f>SUM(K3:K25)</f>
        <v>0</v>
      </c>
      <c r="L26" s="1">
        <f>SUM(L3:L25)</f>
        <v>807</v>
      </c>
    </row>
    <row r="27" spans="1:12" x14ac:dyDescent="0.25">
      <c r="A27" t="s">
        <v>26</v>
      </c>
      <c r="B27">
        <f>SUM(Juin!B30+Juil!D26)</f>
        <v>7530</v>
      </c>
      <c r="H27" s="1">
        <f>SUM(Juin!H30+Juil!I26)</f>
        <v>39313</v>
      </c>
      <c r="K27" s="1">
        <f>SUM(Juin!K30+Juil!K26)</f>
        <v>2834</v>
      </c>
      <c r="L27" s="1">
        <f>SUM(Juin!L30+Juil!L26)</f>
        <v>3482</v>
      </c>
    </row>
    <row r="28" spans="1:12" x14ac:dyDescent="0.25">
      <c r="B28" s="2"/>
    </row>
    <row r="29" spans="1:12" x14ac:dyDescent="0.25">
      <c r="J29" t="s">
        <v>24</v>
      </c>
      <c r="K29">
        <v>1843</v>
      </c>
      <c r="L29">
        <v>9688</v>
      </c>
    </row>
    <row r="30" spans="1:12" x14ac:dyDescent="0.25">
      <c r="J30" t="s">
        <v>25</v>
      </c>
      <c r="K30">
        <f>SUM(K27+1843)</f>
        <v>4677</v>
      </c>
      <c r="L30">
        <f>SUM(L27+9688)</f>
        <v>13170</v>
      </c>
    </row>
    <row r="31" spans="1:12" x14ac:dyDescent="0.25">
      <c r="B31" s="44"/>
    </row>
  </sheetData>
  <mergeCells count="2">
    <mergeCell ref="E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8"/>
  <sheetViews>
    <sheetView zoomScaleNormal="100" workbookViewId="0">
      <selection activeCell="L14" sqref="L14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1" t="s">
        <v>14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44774</v>
      </c>
      <c r="B3" s="46" t="s">
        <v>115</v>
      </c>
      <c r="C3" s="6">
        <v>1</v>
      </c>
      <c r="D3" s="6">
        <v>59</v>
      </c>
      <c r="E3" s="6">
        <v>3</v>
      </c>
      <c r="F3" s="6">
        <v>47</v>
      </c>
      <c r="G3" s="2">
        <f t="shared" ref="G3:G22" si="0">SUM(E3*60+F3)</f>
        <v>227</v>
      </c>
      <c r="H3" s="7">
        <f>SUM(D3/G3*60)</f>
        <v>15.594713656387666</v>
      </c>
      <c r="I3" s="7">
        <v>378</v>
      </c>
      <c r="J3" s="29" t="s">
        <v>106</v>
      </c>
      <c r="K3" s="6"/>
      <c r="L3" s="6"/>
    </row>
    <row r="4" spans="1:12" x14ac:dyDescent="0.25">
      <c r="A4" s="4">
        <v>44775</v>
      </c>
      <c r="B4" s="46" t="s">
        <v>116</v>
      </c>
      <c r="C4" s="6">
        <v>2</v>
      </c>
      <c r="D4" s="2">
        <v>57</v>
      </c>
      <c r="E4" s="2">
        <v>3</v>
      </c>
      <c r="F4" s="2">
        <v>49</v>
      </c>
      <c r="G4" s="2">
        <f t="shared" si="0"/>
        <v>229</v>
      </c>
      <c r="H4" s="3">
        <f t="shared" ref="H4:H23" si="1">SUM(D4/G4*60)</f>
        <v>14.934497816593886</v>
      </c>
      <c r="I4" s="7">
        <v>473</v>
      </c>
      <c r="J4" s="29" t="s">
        <v>106</v>
      </c>
      <c r="K4" s="2"/>
      <c r="L4" s="2"/>
    </row>
    <row r="5" spans="1:12" x14ac:dyDescent="0.25">
      <c r="A5" s="4">
        <v>44776</v>
      </c>
      <c r="B5" s="46" t="s">
        <v>117</v>
      </c>
      <c r="C5" s="6">
        <v>3</v>
      </c>
      <c r="D5" s="2">
        <v>62</v>
      </c>
      <c r="E5" s="2">
        <v>4</v>
      </c>
      <c r="F5" s="2">
        <v>16</v>
      </c>
      <c r="G5" s="2">
        <f t="shared" si="0"/>
        <v>256</v>
      </c>
      <c r="H5" s="3">
        <f t="shared" si="1"/>
        <v>14.53125</v>
      </c>
      <c r="I5" s="3">
        <v>399</v>
      </c>
      <c r="J5" s="29" t="s">
        <v>106</v>
      </c>
      <c r="K5" s="2"/>
      <c r="L5" s="2"/>
    </row>
    <row r="6" spans="1:12" x14ac:dyDescent="0.25">
      <c r="A6" s="4">
        <v>44777</v>
      </c>
      <c r="B6" s="46" t="s">
        <v>118</v>
      </c>
      <c r="C6" s="6">
        <v>4</v>
      </c>
      <c r="D6" s="2">
        <v>56</v>
      </c>
      <c r="E6" s="2">
        <v>3</v>
      </c>
      <c r="F6" s="2">
        <v>40</v>
      </c>
      <c r="G6" s="2">
        <f t="shared" si="0"/>
        <v>220</v>
      </c>
      <c r="H6" s="3">
        <f t="shared" si="1"/>
        <v>15.272727272727272</v>
      </c>
      <c r="I6" s="3">
        <v>192</v>
      </c>
      <c r="J6" s="29" t="s">
        <v>106</v>
      </c>
      <c r="K6" s="2"/>
      <c r="L6" s="2"/>
    </row>
    <row r="7" spans="1:12" x14ac:dyDescent="0.25">
      <c r="A7" s="4">
        <v>44778</v>
      </c>
      <c r="B7" s="46" t="s">
        <v>119</v>
      </c>
      <c r="C7" s="6">
        <v>5</v>
      </c>
      <c r="D7" s="2">
        <v>90</v>
      </c>
      <c r="E7" s="2">
        <v>5</v>
      </c>
      <c r="F7" s="2">
        <v>6</v>
      </c>
      <c r="G7" s="2">
        <f t="shared" si="0"/>
        <v>306</v>
      </c>
      <c r="H7" s="3">
        <f t="shared" si="1"/>
        <v>17.647058823529413</v>
      </c>
      <c r="I7" s="3">
        <v>529</v>
      </c>
      <c r="J7" s="29" t="s">
        <v>106</v>
      </c>
      <c r="K7" s="2"/>
      <c r="L7" s="2"/>
    </row>
    <row r="8" spans="1:12" x14ac:dyDescent="0.25">
      <c r="A8" s="4">
        <v>44791</v>
      </c>
      <c r="B8" s="29" t="s">
        <v>120</v>
      </c>
      <c r="C8" s="6">
        <v>3</v>
      </c>
      <c r="D8" s="2">
        <v>90</v>
      </c>
      <c r="E8" s="2">
        <v>3</v>
      </c>
      <c r="F8" s="2">
        <v>50</v>
      </c>
      <c r="G8" s="2">
        <f t="shared" si="0"/>
        <v>230</v>
      </c>
      <c r="H8" s="3">
        <f t="shared" si="1"/>
        <v>23.478260869565219</v>
      </c>
      <c r="I8" s="3">
        <v>442</v>
      </c>
      <c r="J8" s="6"/>
      <c r="K8" s="2"/>
      <c r="L8" s="2">
        <v>90</v>
      </c>
    </row>
    <row r="9" spans="1:12" x14ac:dyDescent="0.25">
      <c r="A9" s="4">
        <v>44798</v>
      </c>
      <c r="B9" s="2" t="s">
        <v>121</v>
      </c>
      <c r="C9" s="6">
        <v>7</v>
      </c>
      <c r="D9" s="2">
        <v>88</v>
      </c>
      <c r="E9" s="2">
        <v>3</v>
      </c>
      <c r="F9" s="2">
        <v>33</v>
      </c>
      <c r="G9" s="2">
        <f t="shared" si="0"/>
        <v>213</v>
      </c>
      <c r="H9" s="3">
        <f t="shared" si="1"/>
        <v>24.7887323943662</v>
      </c>
      <c r="I9" s="3">
        <v>250</v>
      </c>
      <c r="J9" s="6"/>
      <c r="K9" s="2"/>
      <c r="L9" s="2">
        <v>88</v>
      </c>
    </row>
    <row r="10" spans="1:12" s="27" customFormat="1" x14ac:dyDescent="0.25">
      <c r="A10" s="22"/>
      <c r="B10" s="34"/>
      <c r="C10" s="23">
        <v>8</v>
      </c>
      <c r="D10" s="24"/>
      <c r="E10" s="24"/>
      <c r="F10" s="24"/>
      <c r="G10" s="24">
        <f t="shared" si="0"/>
        <v>0</v>
      </c>
      <c r="H10" s="25" t="e">
        <f t="shared" si="1"/>
        <v>#DIV/0!</v>
      </c>
      <c r="I10" s="26"/>
      <c r="J10" s="23"/>
      <c r="K10" s="2"/>
      <c r="L10" s="2"/>
    </row>
    <row r="11" spans="1:12" s="27" customFormat="1" x14ac:dyDescent="0.25">
      <c r="A11" s="22"/>
      <c r="B11" s="34"/>
      <c r="C11" s="23">
        <v>9</v>
      </c>
      <c r="D11" s="24"/>
      <c r="E11" s="24"/>
      <c r="F11" s="24"/>
      <c r="G11" s="24">
        <f t="shared" si="0"/>
        <v>0</v>
      </c>
      <c r="H11" s="25" t="e">
        <f t="shared" si="1"/>
        <v>#DIV/0!</v>
      </c>
      <c r="I11" s="25"/>
      <c r="J11" s="23"/>
      <c r="K11" s="2"/>
      <c r="L11" s="2"/>
    </row>
    <row r="12" spans="1:12" x14ac:dyDescent="0.25">
      <c r="A12" s="4"/>
      <c r="B12" s="2"/>
      <c r="C12" s="6">
        <v>9</v>
      </c>
      <c r="D12" s="2"/>
      <c r="E12" s="2"/>
      <c r="F12" s="2"/>
      <c r="G12" s="2">
        <f t="shared" ref="G12" si="2">SUM(E12*60+F12)</f>
        <v>0</v>
      </c>
      <c r="H12" s="3" t="e">
        <f t="shared" ref="H12" si="3">SUM(D12/G12*60)</f>
        <v>#DIV/0!</v>
      </c>
      <c r="I12" s="3"/>
      <c r="J12" s="6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6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3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3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3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3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3" x14ac:dyDescent="0.25">
      <c r="A21" s="4"/>
      <c r="B21" s="17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3" x14ac:dyDescent="0.25">
      <c r="A22" s="4"/>
      <c r="B22" s="20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3" x14ac:dyDescent="0.25">
      <c r="A23" s="4"/>
      <c r="B23" s="2"/>
      <c r="C23" s="2">
        <v>21</v>
      </c>
      <c r="D23" s="2"/>
      <c r="E23" s="2"/>
      <c r="F23" s="2"/>
      <c r="G23" s="2">
        <f t="shared" ref="G23" si="4">SUM(E23*60+F23)</f>
        <v>0</v>
      </c>
      <c r="H23" s="3" t="e">
        <f t="shared" si="1"/>
        <v>#DIV/0!</v>
      </c>
      <c r="I23" s="3"/>
      <c r="J23" s="2"/>
      <c r="K23" s="2"/>
      <c r="L23" s="2"/>
    </row>
    <row r="24" spans="1:13" x14ac:dyDescent="0.25">
      <c r="A24" s="18"/>
      <c r="I24" s="1">
        <f>SUM(I3:I23)</f>
        <v>2663</v>
      </c>
      <c r="K24" s="1">
        <f>SUM(K1:K23)</f>
        <v>0</v>
      </c>
      <c r="L24" s="1">
        <f>SUM(L1:L23)</f>
        <v>178</v>
      </c>
    </row>
    <row r="25" spans="1:13" x14ac:dyDescent="0.25">
      <c r="D25">
        <f>SUM(D3:D24)</f>
        <v>502</v>
      </c>
      <c r="H25" s="1">
        <f>SUM(Juil!H27+Aout!I24)</f>
        <v>41976</v>
      </c>
      <c r="K25" s="1">
        <f>SUM(Juil!K27+Aout!K24)</f>
        <v>2834</v>
      </c>
      <c r="L25" s="1">
        <f>SUM(Juil!L27+Aout!L24)</f>
        <v>3660</v>
      </c>
    </row>
    <row r="26" spans="1:13" x14ac:dyDescent="0.25">
      <c r="A26" t="s">
        <v>26</v>
      </c>
      <c r="B26">
        <f>SUM(Juil!B27+Aout!D25)</f>
        <v>8032</v>
      </c>
    </row>
    <row r="27" spans="1:13" x14ac:dyDescent="0.25">
      <c r="J27" t="s">
        <v>24</v>
      </c>
      <c r="K27">
        <v>1843</v>
      </c>
      <c r="L27">
        <v>9688</v>
      </c>
      <c r="M27" s="44"/>
    </row>
    <row r="28" spans="1:13" x14ac:dyDescent="0.25">
      <c r="J28" t="s">
        <v>25</v>
      </c>
      <c r="K28">
        <f>SUM(K25+1843)</f>
        <v>4677</v>
      </c>
      <c r="L28">
        <f>SUM(L25+9688)</f>
        <v>13348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8"/>
  <sheetViews>
    <sheetView workbookViewId="0">
      <selection activeCell="L19" sqref="L19"/>
    </sheetView>
  </sheetViews>
  <sheetFormatPr baseColWidth="10" defaultRowHeight="15" x14ac:dyDescent="0.25"/>
  <cols>
    <col min="1" max="1" width="12.5703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42578125" customWidth="1"/>
    <col min="11" max="11" width="8.42578125" customWidth="1"/>
    <col min="12" max="12" width="6.85546875" customWidth="1"/>
  </cols>
  <sheetData>
    <row r="1" spans="1:12" ht="27" thickBot="1" x14ac:dyDescent="0.45">
      <c r="A1" s="51" t="s">
        <v>15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12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44807</v>
      </c>
      <c r="B3" s="2" t="s">
        <v>122</v>
      </c>
      <c r="C3" s="6">
        <v>1</v>
      </c>
      <c r="D3" s="6">
        <v>80</v>
      </c>
      <c r="E3" s="6">
        <v>3</v>
      </c>
      <c r="F3" s="6">
        <v>26</v>
      </c>
      <c r="G3" s="6">
        <f>SUM(E3*60+F3)</f>
        <v>206</v>
      </c>
      <c r="H3" s="7">
        <f>SUM(D3/G3*60)</f>
        <v>23.300970873786408</v>
      </c>
      <c r="I3" s="7">
        <v>423</v>
      </c>
      <c r="J3" s="2"/>
      <c r="K3" s="6"/>
      <c r="L3" s="6">
        <v>80</v>
      </c>
    </row>
    <row r="4" spans="1:12" x14ac:dyDescent="0.25">
      <c r="A4" s="4">
        <v>44810</v>
      </c>
      <c r="B4" s="2" t="s">
        <v>123</v>
      </c>
      <c r="C4" s="6">
        <v>2</v>
      </c>
      <c r="D4" s="2">
        <v>90</v>
      </c>
      <c r="E4" s="2">
        <v>3</v>
      </c>
      <c r="F4" s="2">
        <v>46</v>
      </c>
      <c r="G4" s="2">
        <f t="shared" ref="G4:G23" si="0">SUM(E4*60+F4)</f>
        <v>226</v>
      </c>
      <c r="H4" s="3">
        <f t="shared" ref="H4:H23" si="1">SUM(D4/G4*60)</f>
        <v>23.893805309734514</v>
      </c>
      <c r="I4" s="7">
        <v>425</v>
      </c>
      <c r="J4" s="2"/>
      <c r="K4" s="2"/>
      <c r="L4" s="2">
        <v>90</v>
      </c>
    </row>
    <row r="5" spans="1:12" x14ac:dyDescent="0.25">
      <c r="A5" s="4">
        <v>44812</v>
      </c>
      <c r="B5" s="2" t="s">
        <v>124</v>
      </c>
      <c r="C5" s="6">
        <v>3</v>
      </c>
      <c r="D5" s="2">
        <v>81</v>
      </c>
      <c r="E5" s="2">
        <v>3</v>
      </c>
      <c r="F5" s="2">
        <v>31</v>
      </c>
      <c r="G5" s="2">
        <f t="shared" si="0"/>
        <v>211</v>
      </c>
      <c r="H5" s="3">
        <f t="shared" si="1"/>
        <v>23.03317535545024</v>
      </c>
      <c r="I5" s="3">
        <v>422</v>
      </c>
      <c r="J5" s="2"/>
      <c r="K5" s="2"/>
      <c r="L5" s="2">
        <v>81</v>
      </c>
    </row>
    <row r="6" spans="1:12" x14ac:dyDescent="0.25">
      <c r="A6" s="4">
        <v>44814</v>
      </c>
      <c r="B6" s="2" t="s">
        <v>125</v>
      </c>
      <c r="C6" s="6">
        <v>2</v>
      </c>
      <c r="D6" s="2">
        <v>79</v>
      </c>
      <c r="E6" s="2">
        <v>3</v>
      </c>
      <c r="F6" s="2">
        <v>16</v>
      </c>
      <c r="G6" s="2">
        <f t="shared" ref="G6" si="2">SUM(E6*60+F6)</f>
        <v>196</v>
      </c>
      <c r="H6" s="3">
        <f t="shared" ref="H6" si="3">SUM(D6/G6*60)</f>
        <v>24.183673469387756</v>
      </c>
      <c r="I6" s="3">
        <v>333</v>
      </c>
      <c r="J6" s="2"/>
      <c r="K6" s="2"/>
      <c r="L6" s="2">
        <v>79</v>
      </c>
    </row>
    <row r="7" spans="1:12" x14ac:dyDescent="0.25">
      <c r="A7" s="4">
        <v>44817</v>
      </c>
      <c r="B7" s="2" t="s">
        <v>126</v>
      </c>
      <c r="C7" s="6">
        <v>5</v>
      </c>
      <c r="D7" s="2">
        <v>97</v>
      </c>
      <c r="E7" s="2">
        <v>3</v>
      </c>
      <c r="F7" s="2">
        <v>41</v>
      </c>
      <c r="G7" s="2">
        <f t="shared" si="0"/>
        <v>221</v>
      </c>
      <c r="H7" s="3">
        <f t="shared" si="1"/>
        <v>26.334841628959275</v>
      </c>
      <c r="I7" s="3">
        <v>357</v>
      </c>
      <c r="J7" s="2"/>
      <c r="K7" s="2"/>
      <c r="L7" s="2">
        <v>97</v>
      </c>
    </row>
    <row r="8" spans="1:12" x14ac:dyDescent="0.25">
      <c r="A8" s="4">
        <v>44821</v>
      </c>
      <c r="B8" s="2" t="s">
        <v>127</v>
      </c>
      <c r="C8" s="6">
        <v>6</v>
      </c>
      <c r="D8" s="2">
        <v>80</v>
      </c>
      <c r="E8" s="2">
        <v>3</v>
      </c>
      <c r="F8" s="2">
        <v>20</v>
      </c>
      <c r="G8" s="2">
        <f t="shared" si="0"/>
        <v>200</v>
      </c>
      <c r="H8" s="3">
        <f t="shared" si="1"/>
        <v>24</v>
      </c>
      <c r="I8" s="3">
        <v>336</v>
      </c>
      <c r="J8" s="2"/>
      <c r="K8" s="2"/>
      <c r="L8" s="2">
        <v>80</v>
      </c>
    </row>
    <row r="9" spans="1:12" x14ac:dyDescent="0.25">
      <c r="A9" s="4">
        <v>44826</v>
      </c>
      <c r="B9" s="2" t="s">
        <v>128</v>
      </c>
      <c r="C9" s="6">
        <v>7</v>
      </c>
      <c r="D9" s="2">
        <v>94</v>
      </c>
      <c r="E9" s="2">
        <v>3</v>
      </c>
      <c r="F9" s="2">
        <v>50</v>
      </c>
      <c r="G9" s="2">
        <f t="shared" si="0"/>
        <v>230</v>
      </c>
      <c r="H9" s="3">
        <f t="shared" si="1"/>
        <v>24.521739130434785</v>
      </c>
      <c r="I9" s="3">
        <v>269</v>
      </c>
      <c r="J9" s="2"/>
      <c r="K9" s="2"/>
      <c r="L9" s="2"/>
    </row>
    <row r="10" spans="1:12" x14ac:dyDescent="0.25">
      <c r="A10" s="4">
        <v>44828</v>
      </c>
      <c r="B10" s="2" t="s">
        <v>129</v>
      </c>
      <c r="C10" s="6">
        <v>8</v>
      </c>
      <c r="D10" s="2">
        <v>15</v>
      </c>
      <c r="E10" s="2">
        <v>0</v>
      </c>
      <c r="F10" s="2">
        <v>50</v>
      </c>
      <c r="G10" s="2">
        <f t="shared" si="0"/>
        <v>50</v>
      </c>
      <c r="H10" s="3">
        <f t="shared" si="1"/>
        <v>18</v>
      </c>
      <c r="I10" s="7">
        <v>49</v>
      </c>
      <c r="J10" s="2"/>
      <c r="K10" s="2">
        <v>15</v>
      </c>
      <c r="L10" s="2"/>
    </row>
    <row r="11" spans="1:12" x14ac:dyDescent="0.25">
      <c r="A11" s="4">
        <v>44831</v>
      </c>
      <c r="B11" s="2" t="s">
        <v>130</v>
      </c>
      <c r="C11" s="6">
        <v>9</v>
      </c>
      <c r="D11" s="2">
        <v>51</v>
      </c>
      <c r="E11" s="2">
        <v>2</v>
      </c>
      <c r="F11" s="2">
        <v>12</v>
      </c>
      <c r="G11" s="2">
        <f t="shared" si="0"/>
        <v>132</v>
      </c>
      <c r="H11" s="3">
        <f t="shared" si="1"/>
        <v>23.18181818181818</v>
      </c>
      <c r="I11" s="3">
        <v>279</v>
      </c>
      <c r="J11" s="2"/>
      <c r="K11" s="2"/>
      <c r="L11" s="2">
        <v>51</v>
      </c>
    </row>
    <row r="12" spans="1:12" x14ac:dyDescent="0.25">
      <c r="A12" s="4">
        <v>44833</v>
      </c>
      <c r="B12" s="2" t="s">
        <v>131</v>
      </c>
      <c r="C12" s="6">
        <v>10</v>
      </c>
      <c r="D12" s="2">
        <v>93</v>
      </c>
      <c r="E12" s="2">
        <v>3</v>
      </c>
      <c r="F12" s="2">
        <v>42</v>
      </c>
      <c r="G12" s="2">
        <f t="shared" si="0"/>
        <v>222</v>
      </c>
      <c r="H12" s="3">
        <f t="shared" si="1"/>
        <v>25.135135135135133</v>
      </c>
      <c r="I12" s="3">
        <v>357</v>
      </c>
      <c r="J12" s="2"/>
      <c r="K12" s="2"/>
      <c r="L12" s="2">
        <v>93</v>
      </c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760</v>
      </c>
      <c r="I24" s="1">
        <f>SUM(I3:I23)</f>
        <v>3250</v>
      </c>
      <c r="K24" s="1">
        <f>SUM(K1:K23)</f>
        <v>15</v>
      </c>
      <c r="L24" s="1">
        <f>SUM(L1:L23)</f>
        <v>651</v>
      </c>
    </row>
    <row r="25" spans="1:12" x14ac:dyDescent="0.25">
      <c r="A25" t="s">
        <v>26</v>
      </c>
      <c r="B25">
        <f>SUM(Aout!B26+Sept!D24)</f>
        <v>8792</v>
      </c>
      <c r="H25" s="1">
        <f>SUM(Aout!H25+Sept!I24)</f>
        <v>45226</v>
      </c>
      <c r="K25" s="1">
        <f>SUM(Aout!K25+Sept!K24)</f>
        <v>2849</v>
      </c>
      <c r="L25" s="1">
        <f>SUM(Aout!L25+Sept!L24)</f>
        <v>4311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4692</v>
      </c>
      <c r="L28">
        <f>SUM(L25+9688)</f>
        <v>13999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8"/>
  <sheetViews>
    <sheetView topLeftCell="A4" workbookViewId="0">
      <selection activeCell="A13" sqref="A13"/>
    </sheetView>
  </sheetViews>
  <sheetFormatPr baseColWidth="10" defaultRowHeight="15" x14ac:dyDescent="0.25"/>
  <cols>
    <col min="1" max="1" width="12.285156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1" t="s">
        <v>16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44838</v>
      </c>
      <c r="B3" s="6" t="s">
        <v>132</v>
      </c>
      <c r="C3" s="6">
        <v>1</v>
      </c>
      <c r="D3" s="6">
        <v>98</v>
      </c>
      <c r="E3" s="6">
        <v>4</v>
      </c>
      <c r="F3" s="6">
        <v>8</v>
      </c>
      <c r="G3" s="6">
        <f>SUM(E3*60+F3)</f>
        <v>248</v>
      </c>
      <c r="H3" s="7">
        <f>SUM(D3/G3*60)</f>
        <v>23.709677419354836</v>
      </c>
      <c r="I3" s="7">
        <v>419</v>
      </c>
      <c r="J3" s="6"/>
      <c r="K3" s="6"/>
      <c r="L3" s="6">
        <v>98</v>
      </c>
    </row>
    <row r="4" spans="1:12" x14ac:dyDescent="0.25">
      <c r="A4" s="4">
        <v>44840</v>
      </c>
      <c r="B4" s="2" t="s">
        <v>133</v>
      </c>
      <c r="C4" s="6">
        <v>2</v>
      </c>
      <c r="D4" s="2">
        <v>97</v>
      </c>
      <c r="E4" s="2">
        <v>4</v>
      </c>
      <c r="F4" s="2">
        <v>1</v>
      </c>
      <c r="G4" s="2">
        <f t="shared" ref="G4:G23" si="0">SUM(E4*60+F4)</f>
        <v>241</v>
      </c>
      <c r="H4" s="3">
        <f t="shared" ref="H4:H23" si="1">SUM(D4/G4*60)</f>
        <v>24.149377593360995</v>
      </c>
      <c r="I4" s="7">
        <v>353</v>
      </c>
      <c r="J4" s="2"/>
      <c r="K4" s="2"/>
      <c r="L4" s="2">
        <v>97</v>
      </c>
    </row>
    <row r="5" spans="1:12" x14ac:dyDescent="0.25">
      <c r="A5" s="4">
        <v>44842</v>
      </c>
      <c r="B5" s="2" t="s">
        <v>134</v>
      </c>
      <c r="C5" s="6">
        <v>3</v>
      </c>
      <c r="D5" s="2">
        <v>80</v>
      </c>
      <c r="E5" s="2">
        <v>3</v>
      </c>
      <c r="F5" s="2">
        <v>21</v>
      </c>
      <c r="G5" s="2">
        <f t="shared" si="0"/>
        <v>201</v>
      </c>
      <c r="H5" s="3">
        <f t="shared" si="1"/>
        <v>23.880597014925375</v>
      </c>
      <c r="I5" s="3">
        <v>281</v>
      </c>
      <c r="J5" s="2"/>
      <c r="K5" s="2"/>
      <c r="L5" s="2">
        <v>80</v>
      </c>
    </row>
    <row r="6" spans="1:12" x14ac:dyDescent="0.25">
      <c r="A6" s="4">
        <v>44845</v>
      </c>
      <c r="B6" s="2" t="s">
        <v>135</v>
      </c>
      <c r="C6" s="6">
        <v>4</v>
      </c>
      <c r="D6" s="2">
        <v>99</v>
      </c>
      <c r="E6" s="2">
        <v>4</v>
      </c>
      <c r="F6" s="2">
        <v>9</v>
      </c>
      <c r="G6" s="2">
        <f t="shared" si="0"/>
        <v>249</v>
      </c>
      <c r="H6" s="3">
        <f t="shared" si="1"/>
        <v>23.85542168674699</v>
      </c>
      <c r="I6" s="3">
        <v>481</v>
      </c>
      <c r="J6" s="2"/>
      <c r="K6" s="2"/>
      <c r="L6" s="2">
        <v>99</v>
      </c>
    </row>
    <row r="7" spans="1:12" x14ac:dyDescent="0.25">
      <c r="A7" s="4">
        <v>44847</v>
      </c>
      <c r="B7" s="2" t="s">
        <v>136</v>
      </c>
      <c r="C7" s="6">
        <v>5</v>
      </c>
      <c r="D7" s="2">
        <v>45</v>
      </c>
      <c r="E7" s="2">
        <v>1</v>
      </c>
      <c r="F7" s="2">
        <v>57</v>
      </c>
      <c r="G7" s="2">
        <f t="shared" si="0"/>
        <v>117</v>
      </c>
      <c r="H7" s="3">
        <f t="shared" si="1"/>
        <v>23.076923076923077</v>
      </c>
      <c r="I7" s="3">
        <v>184</v>
      </c>
      <c r="J7" s="2"/>
      <c r="K7" s="2"/>
      <c r="L7" s="2">
        <v>45</v>
      </c>
    </row>
    <row r="8" spans="1:12" x14ac:dyDescent="0.25">
      <c r="A8" s="4">
        <v>44854</v>
      </c>
      <c r="B8" s="2" t="s">
        <v>137</v>
      </c>
      <c r="C8" s="6">
        <v>6</v>
      </c>
      <c r="D8" s="2">
        <v>80</v>
      </c>
      <c r="E8" s="2">
        <v>3</v>
      </c>
      <c r="F8" s="2">
        <v>18</v>
      </c>
      <c r="G8" s="2">
        <f t="shared" si="0"/>
        <v>198</v>
      </c>
      <c r="H8" s="3">
        <f t="shared" si="1"/>
        <v>24.242424242424242</v>
      </c>
      <c r="I8" s="3">
        <v>465</v>
      </c>
      <c r="J8" s="2"/>
      <c r="K8" s="2"/>
      <c r="L8" s="2">
        <v>80</v>
      </c>
    </row>
    <row r="9" spans="1:12" x14ac:dyDescent="0.25">
      <c r="A9" s="4">
        <v>44856</v>
      </c>
      <c r="B9" s="2" t="s">
        <v>138</v>
      </c>
      <c r="C9" s="6">
        <v>7</v>
      </c>
      <c r="D9" s="2">
        <v>73</v>
      </c>
      <c r="E9" s="2">
        <v>3</v>
      </c>
      <c r="F9" s="2">
        <v>14</v>
      </c>
      <c r="G9" s="2">
        <f t="shared" si="0"/>
        <v>194</v>
      </c>
      <c r="H9" s="3">
        <f t="shared" si="1"/>
        <v>22.577319587628864</v>
      </c>
      <c r="I9" s="3">
        <v>475</v>
      </c>
      <c r="J9" s="2"/>
      <c r="K9" s="2"/>
      <c r="L9" s="2">
        <v>73</v>
      </c>
    </row>
    <row r="10" spans="1:12" x14ac:dyDescent="0.25">
      <c r="A10" s="4">
        <v>44859</v>
      </c>
      <c r="B10" s="19" t="s">
        <v>139</v>
      </c>
      <c r="C10" s="6">
        <v>8</v>
      </c>
      <c r="D10" s="2">
        <v>93</v>
      </c>
      <c r="E10" s="2">
        <v>3</v>
      </c>
      <c r="F10" s="2">
        <v>56</v>
      </c>
      <c r="G10" s="2">
        <f t="shared" si="0"/>
        <v>236</v>
      </c>
      <c r="H10" s="3">
        <f t="shared" si="1"/>
        <v>23.64406779661017</v>
      </c>
      <c r="I10" s="7">
        <v>393</v>
      </c>
      <c r="J10" s="2"/>
      <c r="K10" s="2"/>
      <c r="L10" s="2">
        <v>93</v>
      </c>
    </row>
    <row r="11" spans="1:12" x14ac:dyDescent="0.25">
      <c r="A11" s="4">
        <v>44861</v>
      </c>
      <c r="B11" s="2" t="s">
        <v>140</v>
      </c>
      <c r="C11" s="6">
        <v>9</v>
      </c>
      <c r="D11" s="2">
        <v>91</v>
      </c>
      <c r="E11" s="2">
        <v>4</v>
      </c>
      <c r="F11" s="2">
        <v>14</v>
      </c>
      <c r="G11" s="2">
        <f t="shared" si="0"/>
        <v>254</v>
      </c>
      <c r="H11" s="3">
        <f t="shared" si="1"/>
        <v>21.496062992125982</v>
      </c>
      <c r="I11" s="3">
        <v>486</v>
      </c>
      <c r="J11" s="2"/>
      <c r="K11" s="2"/>
      <c r="L11" s="2">
        <v>91</v>
      </c>
    </row>
    <row r="12" spans="1:12" x14ac:dyDescent="0.25">
      <c r="A12" s="4">
        <v>44863</v>
      </c>
      <c r="B12" s="2" t="s">
        <v>141</v>
      </c>
      <c r="C12" s="6">
        <v>10</v>
      </c>
      <c r="D12" s="2">
        <v>69</v>
      </c>
      <c r="E12" s="2">
        <v>2</v>
      </c>
      <c r="F12" s="2">
        <v>52</v>
      </c>
      <c r="G12" s="2">
        <f t="shared" si="0"/>
        <v>172</v>
      </c>
      <c r="H12" s="3">
        <f t="shared" si="1"/>
        <v>24.069767441860463</v>
      </c>
      <c r="I12" s="3">
        <v>337</v>
      </c>
      <c r="J12" s="2"/>
      <c r="K12" s="2"/>
      <c r="L12" s="2">
        <v>69</v>
      </c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825</v>
      </c>
      <c r="I24" s="1">
        <f>SUM(I3:I23)</f>
        <v>3874</v>
      </c>
      <c r="K24" s="1">
        <f>SUM(K1:K23)</f>
        <v>0</v>
      </c>
      <c r="L24" s="1">
        <f>SUM(L1:L23)</f>
        <v>825</v>
      </c>
    </row>
    <row r="25" spans="1:12" x14ac:dyDescent="0.25">
      <c r="A25" t="s">
        <v>26</v>
      </c>
      <c r="B25">
        <f>SUM(Sept!B25+Oct!D24)</f>
        <v>9617</v>
      </c>
      <c r="H25" s="1">
        <f>SUM(Sept!H25+Oct!I24)</f>
        <v>49100</v>
      </c>
      <c r="K25" s="1">
        <f>SUM(Sept!K25+Oct!K24)</f>
        <v>2849</v>
      </c>
      <c r="L25" s="1">
        <f>SUM(Sept!L25+Oct!L24)</f>
        <v>5136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4692</v>
      </c>
      <c r="L28">
        <f>SUM(L25+9688)</f>
        <v>14824</v>
      </c>
    </row>
  </sheetData>
  <mergeCells count="2">
    <mergeCell ref="E2:G2"/>
    <mergeCell ref="A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8"/>
  <sheetViews>
    <sheetView workbookViewId="0">
      <selection activeCell="B20" sqref="B20"/>
    </sheetView>
  </sheetViews>
  <sheetFormatPr baseColWidth="10" defaultRowHeight="15" x14ac:dyDescent="0.25"/>
  <cols>
    <col min="1" max="1" width="12.42578125" customWidth="1"/>
    <col min="2" max="2" width="34.28515625" customWidth="1"/>
    <col min="3" max="3" width="4" customWidth="1"/>
    <col min="4" max="4" width="12" customWidth="1"/>
    <col min="5" max="5" width="5.7109375" customWidth="1"/>
    <col min="6" max="6" width="5.85546875" customWidth="1"/>
    <col min="7" max="7" width="5.7109375" customWidth="1"/>
    <col min="8" max="9" width="11.42578125" style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1" t="s">
        <v>17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44870</v>
      </c>
      <c r="B3" s="6" t="s">
        <v>142</v>
      </c>
      <c r="C3" s="6">
        <v>1</v>
      </c>
      <c r="D3" s="6">
        <v>72</v>
      </c>
      <c r="E3" s="6">
        <v>3</v>
      </c>
      <c r="F3" s="6">
        <v>8</v>
      </c>
      <c r="G3" s="6">
        <f>SUM(E3*60+F3)</f>
        <v>188</v>
      </c>
      <c r="H3" s="7">
        <f>SUM(D3/G3*60)</f>
        <v>22.978723404255319</v>
      </c>
      <c r="I3" s="7">
        <v>317</v>
      </c>
      <c r="J3" s="2"/>
      <c r="K3" s="6"/>
      <c r="L3" s="6">
        <v>72</v>
      </c>
    </row>
    <row r="4" spans="1:12" x14ac:dyDescent="0.25">
      <c r="A4" s="4">
        <v>44870</v>
      </c>
      <c r="B4" s="2" t="s">
        <v>45</v>
      </c>
      <c r="C4" s="6">
        <v>2</v>
      </c>
      <c r="D4" s="2">
        <v>16</v>
      </c>
      <c r="E4" s="2"/>
      <c r="F4" s="2">
        <v>56</v>
      </c>
      <c r="G4" s="2">
        <f>SUM(E4*60+F4)</f>
        <v>56</v>
      </c>
      <c r="H4" s="3">
        <f t="shared" ref="H4:H23" si="0">SUM(D4/G4*60)</f>
        <v>17.142857142857142</v>
      </c>
      <c r="I4" s="7">
        <v>25</v>
      </c>
      <c r="J4" s="2"/>
      <c r="K4" s="2">
        <v>16</v>
      </c>
      <c r="L4" s="2"/>
    </row>
    <row r="5" spans="1:12" x14ac:dyDescent="0.25">
      <c r="A5" s="4">
        <v>44875</v>
      </c>
      <c r="B5" s="2" t="s">
        <v>143</v>
      </c>
      <c r="C5" s="6">
        <v>3</v>
      </c>
      <c r="D5" s="2">
        <v>82</v>
      </c>
      <c r="E5" s="2">
        <v>3</v>
      </c>
      <c r="F5" s="2">
        <v>26</v>
      </c>
      <c r="G5" s="2">
        <f>SUM(E5*60+F5)</f>
        <v>206</v>
      </c>
      <c r="H5" s="3">
        <f t="shared" si="0"/>
        <v>23.883495145631066</v>
      </c>
      <c r="I5" s="3">
        <v>306</v>
      </c>
      <c r="J5" s="2"/>
      <c r="K5" s="2"/>
      <c r="L5" s="2">
        <v>82</v>
      </c>
    </row>
    <row r="6" spans="1:12" x14ac:dyDescent="0.25">
      <c r="A6" s="4">
        <v>44877</v>
      </c>
      <c r="B6" s="2" t="s">
        <v>144</v>
      </c>
      <c r="C6" s="6">
        <v>4</v>
      </c>
      <c r="D6" s="2">
        <v>75</v>
      </c>
      <c r="E6" s="2">
        <v>3</v>
      </c>
      <c r="F6" s="2"/>
      <c r="G6" s="2">
        <f t="shared" ref="G6:G23" si="1">SUM(E6*60+F6)</f>
        <v>180</v>
      </c>
      <c r="H6" s="3">
        <f t="shared" si="0"/>
        <v>25</v>
      </c>
      <c r="I6" s="3"/>
      <c r="J6" s="2"/>
      <c r="K6" s="2"/>
      <c r="L6" s="2">
        <v>75</v>
      </c>
    </row>
    <row r="7" spans="1:12" x14ac:dyDescent="0.25">
      <c r="A7" s="4">
        <v>44877</v>
      </c>
      <c r="B7" s="2" t="s">
        <v>45</v>
      </c>
      <c r="C7" s="6">
        <v>5</v>
      </c>
      <c r="D7" s="2">
        <v>26</v>
      </c>
      <c r="E7" s="2">
        <v>1</v>
      </c>
      <c r="F7" s="2">
        <v>23</v>
      </c>
      <c r="G7" s="2">
        <f t="shared" si="1"/>
        <v>83</v>
      </c>
      <c r="H7" s="3">
        <f t="shared" si="0"/>
        <v>18.795180722891565</v>
      </c>
      <c r="I7" s="3">
        <v>75</v>
      </c>
      <c r="J7" s="2"/>
      <c r="K7" s="2">
        <v>26</v>
      </c>
      <c r="L7" s="2"/>
    </row>
    <row r="8" spans="1:12" x14ac:dyDescent="0.25">
      <c r="A8" s="4">
        <v>44884</v>
      </c>
      <c r="B8" s="2" t="s">
        <v>145</v>
      </c>
      <c r="C8" s="6">
        <v>6</v>
      </c>
      <c r="D8" s="2">
        <v>71</v>
      </c>
      <c r="E8" s="2">
        <v>2</v>
      </c>
      <c r="F8" s="2">
        <v>55</v>
      </c>
      <c r="G8" s="2">
        <f t="shared" si="1"/>
        <v>175</v>
      </c>
      <c r="H8" s="3">
        <f t="shared" si="0"/>
        <v>24.342857142857142</v>
      </c>
      <c r="I8" s="3">
        <v>289</v>
      </c>
      <c r="J8" s="2"/>
      <c r="K8" s="2"/>
      <c r="L8" s="2">
        <v>71</v>
      </c>
    </row>
    <row r="9" spans="1:12" x14ac:dyDescent="0.25">
      <c r="A9" s="4">
        <v>44884</v>
      </c>
      <c r="B9" s="2" t="s">
        <v>40</v>
      </c>
      <c r="C9" s="6">
        <v>7</v>
      </c>
      <c r="D9" s="2">
        <v>29</v>
      </c>
      <c r="E9" s="2">
        <v>1</v>
      </c>
      <c r="F9" s="2">
        <v>40</v>
      </c>
      <c r="G9" s="2">
        <f t="shared" si="1"/>
        <v>100</v>
      </c>
      <c r="H9" s="3">
        <f t="shared" si="0"/>
        <v>17.399999999999999</v>
      </c>
      <c r="I9" s="3">
        <v>102</v>
      </c>
      <c r="J9" s="2"/>
      <c r="K9" s="2">
        <v>29</v>
      </c>
      <c r="L9" s="2"/>
    </row>
    <row r="10" spans="1:12" x14ac:dyDescent="0.25">
      <c r="A10" s="4">
        <v>44887</v>
      </c>
      <c r="B10" s="2" t="s">
        <v>146</v>
      </c>
      <c r="C10" s="6">
        <v>8</v>
      </c>
      <c r="D10" s="2">
        <v>95</v>
      </c>
      <c r="E10" s="2">
        <v>3</v>
      </c>
      <c r="F10" s="2">
        <v>46</v>
      </c>
      <c r="G10" s="2">
        <f t="shared" si="1"/>
        <v>226</v>
      </c>
      <c r="H10" s="3">
        <f t="shared" si="0"/>
        <v>25.221238938053098</v>
      </c>
      <c r="I10" s="7">
        <v>443</v>
      </c>
      <c r="J10" s="2"/>
      <c r="K10" s="2"/>
      <c r="L10" s="2">
        <v>95</v>
      </c>
    </row>
    <row r="11" spans="1:12" x14ac:dyDescent="0.25">
      <c r="A11" s="4">
        <v>44889</v>
      </c>
      <c r="B11" s="2" t="s">
        <v>139</v>
      </c>
      <c r="C11" s="6">
        <v>9</v>
      </c>
      <c r="D11" s="2">
        <v>98</v>
      </c>
      <c r="E11" s="2">
        <v>4</v>
      </c>
      <c r="F11" s="2">
        <v>6</v>
      </c>
      <c r="G11" s="2">
        <f t="shared" si="1"/>
        <v>246</v>
      </c>
      <c r="H11" s="3">
        <f t="shared" si="0"/>
        <v>23.902439024390244</v>
      </c>
      <c r="I11" s="3">
        <v>430</v>
      </c>
      <c r="J11" s="2"/>
      <c r="K11" s="2"/>
      <c r="L11" s="2">
        <v>98</v>
      </c>
    </row>
    <row r="12" spans="1:12" x14ac:dyDescent="0.25">
      <c r="A12" s="4">
        <v>44891</v>
      </c>
      <c r="B12" s="2" t="s">
        <v>148</v>
      </c>
      <c r="C12" s="6">
        <v>10</v>
      </c>
      <c r="D12" s="2">
        <v>72</v>
      </c>
      <c r="E12" s="2">
        <v>3</v>
      </c>
      <c r="F12" s="2">
        <v>0</v>
      </c>
      <c r="G12" s="2">
        <f t="shared" si="1"/>
        <v>180</v>
      </c>
      <c r="H12" s="3">
        <f t="shared" si="0"/>
        <v>24</v>
      </c>
      <c r="I12" s="3">
        <v>365</v>
      </c>
      <c r="J12" s="2"/>
      <c r="K12" s="2"/>
      <c r="L12" s="2">
        <v>72</v>
      </c>
    </row>
    <row r="13" spans="1:12" x14ac:dyDescent="0.25">
      <c r="A13" s="4">
        <v>44894</v>
      </c>
      <c r="B13" s="2" t="s">
        <v>149</v>
      </c>
      <c r="C13" s="6">
        <v>3</v>
      </c>
      <c r="D13" s="2">
        <v>91</v>
      </c>
      <c r="E13" s="2">
        <v>3</v>
      </c>
      <c r="F13" s="2">
        <v>38</v>
      </c>
      <c r="G13" s="2">
        <f t="shared" si="1"/>
        <v>218</v>
      </c>
      <c r="H13" s="3">
        <f t="shared" si="0"/>
        <v>25.045871559633028</v>
      </c>
      <c r="I13" s="3">
        <v>414</v>
      </c>
      <c r="J13" s="2"/>
      <c r="K13" s="2"/>
      <c r="L13" s="2">
        <v>91</v>
      </c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1"/>
        <v>0</v>
      </c>
      <c r="H14" s="3" t="e">
        <f t="shared" si="0"/>
        <v>#DIV/0!</v>
      </c>
      <c r="I14" s="3" t="s">
        <v>147</v>
      </c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1"/>
        <v>0</v>
      </c>
      <c r="H15" s="3" t="e">
        <f t="shared" si="0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1"/>
      <c r="F16" s="2"/>
      <c r="G16" s="2">
        <f t="shared" si="1"/>
        <v>0</v>
      </c>
      <c r="H16" s="3" t="e">
        <f t="shared" si="0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1"/>
        <v>0</v>
      </c>
      <c r="H17" s="3" t="e">
        <f t="shared" si="0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1"/>
        <v>0</v>
      </c>
      <c r="H18" s="3" t="e">
        <f t="shared" si="0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1"/>
        <v>0</v>
      </c>
      <c r="H19" s="3" t="e">
        <f t="shared" si="0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1"/>
        <v>0</v>
      </c>
      <c r="H20" s="3" t="e">
        <f t="shared" si="0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1"/>
        <v>0</v>
      </c>
      <c r="H21" s="3" t="e">
        <f t="shared" si="0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1"/>
        <v>0</v>
      </c>
      <c r="H22" s="3" t="e">
        <f t="shared" si="0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1"/>
        <v>0</v>
      </c>
      <c r="H23" s="3" t="e">
        <f t="shared" si="0"/>
        <v>#DIV/0!</v>
      </c>
      <c r="I23" s="3"/>
      <c r="J23" s="2"/>
      <c r="K23" s="2"/>
      <c r="L23" s="2"/>
    </row>
    <row r="24" spans="1:12" x14ac:dyDescent="0.25">
      <c r="D24">
        <f>SUM(D3:D23)</f>
        <v>727</v>
      </c>
      <c r="I24" s="1">
        <f>SUM(I3:I23)</f>
        <v>2766</v>
      </c>
      <c r="K24" s="1">
        <f>SUM(K1:K23)</f>
        <v>71</v>
      </c>
      <c r="L24" s="1">
        <f>SUM(L1:L23)</f>
        <v>656</v>
      </c>
    </row>
    <row r="25" spans="1:12" x14ac:dyDescent="0.25">
      <c r="A25" t="s">
        <v>26</v>
      </c>
      <c r="B25">
        <f>SUM(Oct!B25+Nov!D24)</f>
        <v>10344</v>
      </c>
      <c r="H25" s="1">
        <f>SUM(Oct!H25+Nov!I24)</f>
        <v>51866</v>
      </c>
      <c r="K25" s="1">
        <f>SUM(Oct!K25+Nov!K24)</f>
        <v>2920</v>
      </c>
      <c r="L25" s="1">
        <f>SUM(Oct!L25+Nov!L24)</f>
        <v>5792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4763</v>
      </c>
      <c r="L28">
        <f>SUM(L25+9688)</f>
        <v>15480</v>
      </c>
    </row>
  </sheetData>
  <mergeCells count="2">
    <mergeCell ref="E2:G2"/>
    <mergeCell ref="A1:G1"/>
  </mergeCells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8"/>
  <sheetViews>
    <sheetView tabSelected="1" topLeftCell="A4" workbookViewId="0">
      <selection activeCell="G27" sqref="A27:G28"/>
    </sheetView>
  </sheetViews>
  <sheetFormatPr baseColWidth="10" defaultRowHeight="15" x14ac:dyDescent="0.25"/>
  <cols>
    <col min="1" max="1" width="12.5703125" customWidth="1"/>
    <col min="2" max="2" width="36.85546875" customWidth="1"/>
    <col min="3" max="3" width="3.7109375" customWidth="1"/>
    <col min="4" max="4" width="11.140625" customWidth="1"/>
    <col min="5" max="7" width="4.7109375" customWidth="1"/>
    <col min="8" max="8" width="10.140625" style="1" customWidth="1"/>
    <col min="9" max="9" width="8.5703125" style="1" customWidth="1"/>
    <col min="10" max="10" width="18.5703125" customWidth="1"/>
    <col min="11" max="11" width="8.42578125" customWidth="1"/>
    <col min="12" max="12" width="6.85546875" customWidth="1"/>
  </cols>
  <sheetData>
    <row r="1" spans="1:12" ht="27" thickBot="1" x14ac:dyDescent="0.45">
      <c r="A1" s="51" t="s">
        <v>18</v>
      </c>
      <c r="B1" s="51"/>
      <c r="C1" s="51"/>
      <c r="D1" s="51"/>
      <c r="E1" s="51"/>
      <c r="F1" s="51"/>
      <c r="G1" s="51"/>
      <c r="H1" s="13">
        <f>SUM(Janv!H1)</f>
        <v>2022</v>
      </c>
      <c r="I1" s="13"/>
      <c r="J1" s="13"/>
    </row>
    <row r="2" spans="1:12" ht="19.5" thickBot="1" x14ac:dyDescent="0.35">
      <c r="A2" s="8" t="s">
        <v>0</v>
      </c>
      <c r="B2" s="9" t="s">
        <v>1</v>
      </c>
      <c r="C2" s="9" t="s">
        <v>6</v>
      </c>
      <c r="D2" s="9" t="s">
        <v>2</v>
      </c>
      <c r="E2" s="50" t="s">
        <v>3</v>
      </c>
      <c r="F2" s="50"/>
      <c r="G2" s="50"/>
      <c r="H2" s="10" t="s">
        <v>4</v>
      </c>
      <c r="I2" s="16" t="s">
        <v>19</v>
      </c>
      <c r="J2" s="11" t="s">
        <v>5</v>
      </c>
      <c r="K2" s="39" t="s">
        <v>20</v>
      </c>
      <c r="L2" s="40" t="s">
        <v>21</v>
      </c>
    </row>
    <row r="3" spans="1:12" x14ac:dyDescent="0.25">
      <c r="A3" s="5">
        <v>44896</v>
      </c>
      <c r="B3" s="6" t="s">
        <v>150</v>
      </c>
      <c r="C3" s="6">
        <v>1</v>
      </c>
      <c r="D3" s="6">
        <v>96</v>
      </c>
      <c r="E3" s="6">
        <v>4</v>
      </c>
      <c r="F3" s="6">
        <v>4</v>
      </c>
      <c r="G3" s="6">
        <f>SUM(E3*60+F3)</f>
        <v>244</v>
      </c>
      <c r="H3" s="7">
        <f>SUM(D3/G3*60)</f>
        <v>23.606557377049178</v>
      </c>
      <c r="I3" s="7">
        <v>480</v>
      </c>
      <c r="J3" s="6"/>
      <c r="K3" s="6"/>
      <c r="L3" s="6">
        <v>96</v>
      </c>
    </row>
    <row r="4" spans="1:12" x14ac:dyDescent="0.25">
      <c r="A4" s="4">
        <v>44898</v>
      </c>
      <c r="B4" s="2" t="s">
        <v>151</v>
      </c>
      <c r="C4" s="6">
        <v>3</v>
      </c>
      <c r="D4" s="2">
        <v>71</v>
      </c>
      <c r="E4" s="2">
        <v>2</v>
      </c>
      <c r="F4" s="2">
        <v>46</v>
      </c>
      <c r="G4" s="2">
        <f t="shared" ref="G4:G23" si="0">SUM(E4*60+F4)</f>
        <v>166</v>
      </c>
      <c r="H4" s="3">
        <f t="shared" ref="H4:H23" si="1">SUM(D4/G4*60)</f>
        <v>25.662650602409638</v>
      </c>
      <c r="I4" s="7">
        <v>315</v>
      </c>
      <c r="J4" s="6"/>
      <c r="K4" s="2"/>
      <c r="L4" s="2">
        <v>71</v>
      </c>
    </row>
    <row r="5" spans="1:12" x14ac:dyDescent="0.25">
      <c r="A5" s="4">
        <v>44901</v>
      </c>
      <c r="B5" s="2" t="s">
        <v>152</v>
      </c>
      <c r="C5" s="6">
        <v>3</v>
      </c>
      <c r="D5" s="2">
        <v>84</v>
      </c>
      <c r="E5" s="2">
        <v>3</v>
      </c>
      <c r="F5" s="2">
        <v>24</v>
      </c>
      <c r="G5" s="2">
        <f t="shared" si="0"/>
        <v>204</v>
      </c>
      <c r="H5" s="3">
        <f t="shared" si="1"/>
        <v>24.705882352941174</v>
      </c>
      <c r="I5" s="3">
        <v>440</v>
      </c>
      <c r="J5" s="2"/>
      <c r="K5" s="2"/>
      <c r="L5" s="2">
        <v>84</v>
      </c>
    </row>
    <row r="6" spans="1:12" s="33" customFormat="1" x14ac:dyDescent="0.25">
      <c r="A6" s="28">
        <v>45289</v>
      </c>
      <c r="B6" s="29" t="s">
        <v>153</v>
      </c>
      <c r="C6" s="30">
        <v>4</v>
      </c>
      <c r="D6" s="29">
        <v>46</v>
      </c>
      <c r="E6" s="29">
        <v>2</v>
      </c>
      <c r="F6" s="29">
        <v>1</v>
      </c>
      <c r="G6" s="29">
        <f t="shared" si="0"/>
        <v>121</v>
      </c>
      <c r="H6" s="31">
        <f t="shared" si="1"/>
        <v>22.809917355371901</v>
      </c>
      <c r="I6" s="31"/>
      <c r="J6" s="29"/>
      <c r="K6" s="2"/>
      <c r="L6" s="2">
        <v>46</v>
      </c>
    </row>
    <row r="7" spans="1:12" s="33" customFormat="1" x14ac:dyDescent="0.25">
      <c r="A7" s="28"/>
      <c r="B7" s="29"/>
      <c r="C7" s="30">
        <v>5</v>
      </c>
      <c r="D7" s="29"/>
      <c r="E7" s="29"/>
      <c r="F7" s="29"/>
      <c r="G7" s="29">
        <f t="shared" si="0"/>
        <v>0</v>
      </c>
      <c r="H7" s="31" t="e">
        <f t="shared" si="1"/>
        <v>#DIV/0!</v>
      </c>
      <c r="I7" s="31"/>
      <c r="J7" s="29"/>
      <c r="K7" s="2"/>
      <c r="L7" s="2"/>
    </row>
    <row r="8" spans="1:12" s="33" customFormat="1" x14ac:dyDescent="0.25">
      <c r="A8" s="28"/>
      <c r="B8" s="29"/>
      <c r="C8" s="30">
        <v>6</v>
      </c>
      <c r="D8" s="29"/>
      <c r="E8" s="29"/>
      <c r="F8" s="29"/>
      <c r="G8" s="29">
        <f t="shared" si="0"/>
        <v>0</v>
      </c>
      <c r="H8" s="31" t="e">
        <f t="shared" si="1"/>
        <v>#DIV/0!</v>
      </c>
      <c r="I8" s="31"/>
      <c r="J8" s="29"/>
      <c r="K8" s="2"/>
      <c r="L8" s="2"/>
    </row>
    <row r="9" spans="1:12" s="33" customFormat="1" x14ac:dyDescent="0.25">
      <c r="A9" s="28"/>
      <c r="B9" s="30"/>
      <c r="C9" s="30">
        <v>7</v>
      </c>
      <c r="D9" s="29"/>
      <c r="E9" s="29"/>
      <c r="F9" s="29"/>
      <c r="G9" s="29">
        <f t="shared" si="0"/>
        <v>0</v>
      </c>
      <c r="H9" s="31" t="e">
        <f t="shared" si="1"/>
        <v>#DIV/0!</v>
      </c>
      <c r="I9" s="31"/>
      <c r="J9" s="29"/>
      <c r="K9" s="2"/>
      <c r="L9" s="2"/>
    </row>
    <row r="10" spans="1:12" s="33" customFormat="1" x14ac:dyDescent="0.25">
      <c r="A10" s="28"/>
      <c r="B10" s="29"/>
      <c r="C10" s="30">
        <v>8</v>
      </c>
      <c r="D10" s="29"/>
      <c r="E10" s="29"/>
      <c r="F10" s="29"/>
      <c r="G10" s="29">
        <f t="shared" si="0"/>
        <v>0</v>
      </c>
      <c r="H10" s="31" t="e">
        <f t="shared" si="1"/>
        <v>#DIV/0!</v>
      </c>
      <c r="I10" s="32"/>
      <c r="J10" s="30"/>
      <c r="K10" s="2"/>
      <c r="L10" s="2"/>
    </row>
    <row r="11" spans="1:12" s="33" customFormat="1" x14ac:dyDescent="0.25">
      <c r="A11" s="28"/>
      <c r="B11" s="29"/>
      <c r="C11" s="30">
        <v>9</v>
      </c>
      <c r="D11" s="29"/>
      <c r="E11" s="29"/>
      <c r="F11" s="29"/>
      <c r="G11" s="29">
        <f t="shared" si="0"/>
        <v>0</v>
      </c>
      <c r="H11" s="31" t="e">
        <f t="shared" si="1"/>
        <v>#DIV/0!</v>
      </c>
      <c r="I11" s="31"/>
      <c r="J11" s="29"/>
      <c r="K11" s="2"/>
      <c r="L11" s="2"/>
    </row>
    <row r="12" spans="1:12" s="33" customFormat="1" x14ac:dyDescent="0.25">
      <c r="A12" s="28"/>
      <c r="B12" s="29"/>
      <c r="C12" s="30">
        <v>10</v>
      </c>
      <c r="D12" s="29"/>
      <c r="E12" s="29"/>
      <c r="F12" s="29"/>
      <c r="G12" s="29">
        <f t="shared" si="0"/>
        <v>0</v>
      </c>
      <c r="H12" s="31" t="e">
        <f t="shared" si="1"/>
        <v>#DIV/0!</v>
      </c>
      <c r="I12" s="31"/>
      <c r="J12" s="29"/>
      <c r="K12" s="2"/>
      <c r="L12" s="2"/>
    </row>
    <row r="13" spans="1:12" x14ac:dyDescent="0.25">
      <c r="A13" s="4"/>
      <c r="B13" s="2"/>
      <c r="C13" s="6">
        <v>11</v>
      </c>
      <c r="D13" s="2"/>
      <c r="E13" s="2"/>
      <c r="F13" s="2"/>
      <c r="G13" s="2">
        <f t="shared" si="0"/>
        <v>0</v>
      </c>
      <c r="H13" s="3" t="e">
        <f t="shared" si="1"/>
        <v>#DIV/0!</v>
      </c>
      <c r="I13" s="3"/>
      <c r="J13" s="2"/>
      <c r="K13" s="2"/>
      <c r="L13" s="2"/>
    </row>
    <row r="14" spans="1:12" x14ac:dyDescent="0.25">
      <c r="A14" s="4"/>
      <c r="B14" s="2"/>
      <c r="C14" s="6">
        <v>12</v>
      </c>
      <c r="D14" s="2"/>
      <c r="E14" s="2"/>
      <c r="F14" s="2"/>
      <c r="G14" s="2">
        <f t="shared" si="0"/>
        <v>0</v>
      </c>
      <c r="H14" s="3" t="e">
        <f t="shared" si="1"/>
        <v>#DIV/0!</v>
      </c>
      <c r="I14" s="3"/>
      <c r="J14" s="2"/>
      <c r="K14" s="2"/>
      <c r="L14" s="2"/>
    </row>
    <row r="15" spans="1:12" x14ac:dyDescent="0.25">
      <c r="A15" s="4"/>
      <c r="B15" s="2"/>
      <c r="C15" s="6">
        <v>13</v>
      </c>
      <c r="D15" s="2"/>
      <c r="E15" s="2"/>
      <c r="F15" s="2"/>
      <c r="G15" s="2">
        <f t="shared" si="0"/>
        <v>0</v>
      </c>
      <c r="H15" s="3" t="e">
        <f t="shared" si="1"/>
        <v>#DIV/0!</v>
      </c>
      <c r="I15" s="3"/>
      <c r="J15" s="2"/>
      <c r="K15" s="2"/>
      <c r="L15" s="2"/>
    </row>
    <row r="16" spans="1:12" x14ac:dyDescent="0.25">
      <c r="A16" s="4"/>
      <c r="B16" s="2"/>
      <c r="C16" s="6">
        <v>14</v>
      </c>
      <c r="D16" s="2"/>
      <c r="E16" s="2"/>
      <c r="F16" s="2"/>
      <c r="G16" s="2">
        <f t="shared" si="0"/>
        <v>0</v>
      </c>
      <c r="H16" s="3" t="e">
        <f t="shared" si="1"/>
        <v>#DIV/0!</v>
      </c>
      <c r="I16" s="3"/>
      <c r="J16" s="2"/>
      <c r="K16" s="2"/>
      <c r="L16" s="2"/>
    </row>
    <row r="17" spans="1:12" x14ac:dyDescent="0.25">
      <c r="A17" s="4"/>
      <c r="B17" s="2"/>
      <c r="C17" s="6">
        <v>15</v>
      </c>
      <c r="D17" s="2"/>
      <c r="E17" s="2"/>
      <c r="F17" s="2"/>
      <c r="G17" s="2">
        <f t="shared" si="0"/>
        <v>0</v>
      </c>
      <c r="H17" s="3" t="e">
        <f t="shared" si="1"/>
        <v>#DIV/0!</v>
      </c>
      <c r="I17" s="3"/>
      <c r="J17" s="2"/>
      <c r="K17" s="2"/>
      <c r="L17" s="2"/>
    </row>
    <row r="18" spans="1:12" x14ac:dyDescent="0.25">
      <c r="A18" s="4"/>
      <c r="B18" s="2"/>
      <c r="C18" s="6">
        <v>16</v>
      </c>
      <c r="D18" s="2"/>
      <c r="E18" s="2"/>
      <c r="F18" s="2"/>
      <c r="G18" s="2">
        <f t="shared" si="0"/>
        <v>0</v>
      </c>
      <c r="H18" s="3" t="e">
        <f t="shared" si="1"/>
        <v>#DIV/0!</v>
      </c>
      <c r="I18" s="3"/>
      <c r="J18" s="2"/>
      <c r="K18" s="2"/>
      <c r="L18" s="2"/>
    </row>
    <row r="19" spans="1:12" x14ac:dyDescent="0.25">
      <c r="A19" s="4"/>
      <c r="B19" s="2"/>
      <c r="C19" s="6">
        <v>17</v>
      </c>
      <c r="D19" s="2"/>
      <c r="E19" s="2"/>
      <c r="F19" s="2"/>
      <c r="G19" s="2">
        <f t="shared" si="0"/>
        <v>0</v>
      </c>
      <c r="H19" s="3" t="e">
        <f t="shared" si="1"/>
        <v>#DIV/0!</v>
      </c>
      <c r="I19" s="3"/>
      <c r="J19" s="2"/>
      <c r="K19" s="2"/>
      <c r="L19" s="2"/>
    </row>
    <row r="20" spans="1:12" x14ac:dyDescent="0.25">
      <c r="A20" s="4"/>
      <c r="B20" s="2"/>
      <c r="C20" s="6">
        <v>18</v>
      </c>
      <c r="D20" s="2"/>
      <c r="E20" s="2"/>
      <c r="F20" s="2"/>
      <c r="G20" s="2">
        <f t="shared" si="0"/>
        <v>0</v>
      </c>
      <c r="H20" s="3" t="e">
        <f t="shared" si="1"/>
        <v>#DIV/0!</v>
      </c>
      <c r="I20" s="3"/>
      <c r="J20" s="2"/>
      <c r="K20" s="2"/>
      <c r="L20" s="2"/>
    </row>
    <row r="21" spans="1:12" x14ac:dyDescent="0.25">
      <c r="A21" s="4"/>
      <c r="B21" s="2"/>
      <c r="C21" s="6">
        <v>19</v>
      </c>
      <c r="D21" s="2"/>
      <c r="E21" s="2"/>
      <c r="F21" s="2"/>
      <c r="G21" s="2">
        <f t="shared" si="0"/>
        <v>0</v>
      </c>
      <c r="H21" s="3" t="e">
        <f t="shared" si="1"/>
        <v>#DIV/0!</v>
      </c>
      <c r="I21" s="3"/>
      <c r="J21" s="2"/>
      <c r="K21" s="2"/>
      <c r="L21" s="2"/>
    </row>
    <row r="22" spans="1:12" x14ac:dyDescent="0.25">
      <c r="A22" s="4"/>
      <c r="B22" s="2"/>
      <c r="C22" s="6">
        <v>20</v>
      </c>
      <c r="D22" s="2"/>
      <c r="E22" s="2"/>
      <c r="F22" s="2"/>
      <c r="G22" s="2">
        <f t="shared" si="0"/>
        <v>0</v>
      </c>
      <c r="H22" s="3" t="e">
        <f t="shared" si="1"/>
        <v>#DIV/0!</v>
      </c>
      <c r="I22" s="3"/>
      <c r="J22" s="2"/>
      <c r="K22" s="2"/>
      <c r="L22" s="2"/>
    </row>
    <row r="23" spans="1:12" x14ac:dyDescent="0.25">
      <c r="A23" s="4"/>
      <c r="B23" s="2"/>
      <c r="C23" s="2"/>
      <c r="D23" s="2"/>
      <c r="E23" s="2"/>
      <c r="F23" s="2"/>
      <c r="G23" s="2">
        <f t="shared" si="0"/>
        <v>0</v>
      </c>
      <c r="H23" s="3" t="e">
        <f t="shared" si="1"/>
        <v>#DIV/0!</v>
      </c>
      <c r="I23" s="3"/>
      <c r="J23" s="2"/>
      <c r="K23" s="2"/>
      <c r="L23" s="2"/>
    </row>
    <row r="24" spans="1:12" x14ac:dyDescent="0.25">
      <c r="D24">
        <f>SUM(D3:D23)</f>
        <v>297</v>
      </c>
      <c r="I24" s="1">
        <f>SUM(I3:I23)</f>
        <v>1235</v>
      </c>
      <c r="K24" s="1">
        <f>SUM(K1:K23)</f>
        <v>0</v>
      </c>
      <c r="L24" s="1">
        <f>SUM(L1:L23)</f>
        <v>297</v>
      </c>
    </row>
    <row r="25" spans="1:12" x14ac:dyDescent="0.25">
      <c r="A25" t="s">
        <v>26</v>
      </c>
      <c r="B25">
        <f>SUM(Nov!B25+Déc!D24)</f>
        <v>10641</v>
      </c>
      <c r="H25" s="1">
        <f>SUM(Nov!H25+Déc!I24)</f>
        <v>53101</v>
      </c>
      <c r="K25" s="1">
        <f>SUM(Nov!K25+Déc!K24)</f>
        <v>2920</v>
      </c>
      <c r="L25" s="1">
        <f>SUM(Nov!L25+Déc!L24)</f>
        <v>6089</v>
      </c>
    </row>
    <row r="27" spans="1:12" x14ac:dyDescent="0.25">
      <c r="J27" t="s">
        <v>24</v>
      </c>
      <c r="K27">
        <v>1843</v>
      </c>
      <c r="L27">
        <v>9688</v>
      </c>
    </row>
    <row r="28" spans="1:12" x14ac:dyDescent="0.25">
      <c r="J28" t="s">
        <v>25</v>
      </c>
      <c r="K28">
        <f>SUM(K25+1843)</f>
        <v>4763</v>
      </c>
      <c r="L28">
        <f>SUM(L25+9688)</f>
        <v>15777</v>
      </c>
    </row>
  </sheetData>
  <mergeCells count="2">
    <mergeCell ref="E2:G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</vt:lpstr>
      <vt:lpstr>Fév</vt:lpstr>
      <vt:lpstr>Mar</vt:lpstr>
      <vt:lpstr>Avr</vt:lpstr>
      <vt:lpstr>Mai</vt:lpstr>
      <vt:lpstr>Juin</vt:lpstr>
      <vt:lpstr>Juil</vt:lpstr>
      <vt:lpstr>Aout</vt:lpstr>
      <vt:lpstr>Sept</vt:lpstr>
      <vt:lpstr>Oct</vt:lpstr>
      <vt:lpstr>Nov</vt:lpstr>
      <vt:lpstr>Déc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Patrice</dc:creator>
  <cp:lastModifiedBy>patri</cp:lastModifiedBy>
  <dcterms:created xsi:type="dcterms:W3CDTF">2015-01-07T20:15:24Z</dcterms:created>
  <dcterms:modified xsi:type="dcterms:W3CDTF">2023-01-02T18:49:48Z</dcterms:modified>
</cp:coreProperties>
</file>