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CEBDCCF1-829C-4D89-870E-74FD3E6A2136}" xr6:coauthVersionLast="47" xr6:coauthVersionMax="47" xr10:uidLastSave="{00000000-0000-0000-0000-000000000000}"/>
  <bookViews>
    <workbookView xWindow="14400" yWindow="0" windowWidth="14400" windowHeight="15600" firstSheet="5" activeTab="12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Feuil1" sheetId="13" r:id="rId9"/>
    <sheet name="Sept" sheetId="9" r:id="rId10"/>
    <sheet name="Oct" sheetId="10" r:id="rId11"/>
    <sheet name="Nov" sheetId="11" r:id="rId12"/>
    <sheet name="Déc" sheetId="12" r:id="rId13"/>
  </sheets>
  <calcPr calcId="191029"/>
</workbook>
</file>

<file path=xl/calcChain.xml><?xml version="1.0" encoding="utf-8"?>
<calcChain xmlns="http://schemas.openxmlformats.org/spreadsheetml/2006/main">
  <c r="G23" i="7" l="1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L28" i="12"/>
  <c r="K28" i="12"/>
  <c r="L28" i="11"/>
  <c r="K28" i="11"/>
  <c r="L28" i="10"/>
  <c r="K28" i="10"/>
  <c r="L28" i="9"/>
  <c r="K28" i="9"/>
  <c r="L28" i="8"/>
  <c r="K28" i="8"/>
  <c r="L28" i="7"/>
  <c r="K28" i="7"/>
  <c r="H23" i="7"/>
  <c r="D24" i="7"/>
  <c r="I24" i="7"/>
  <c r="K24" i="7"/>
  <c r="L24" i="7"/>
  <c r="L28" i="6"/>
  <c r="K28" i="6"/>
  <c r="L28" i="5"/>
  <c r="K28" i="5"/>
  <c r="L28" i="4"/>
  <c r="K28" i="4"/>
  <c r="L28" i="3"/>
  <c r="K28" i="3"/>
  <c r="L28" i="2"/>
  <c r="K28" i="2"/>
  <c r="L24" i="12" l="1"/>
  <c r="K24" i="12"/>
  <c r="L24" i="11"/>
  <c r="K24" i="11"/>
  <c r="L24" i="10"/>
  <c r="K24" i="10"/>
  <c r="L24" i="9"/>
  <c r="K24" i="9"/>
  <c r="L24" i="8"/>
  <c r="K24" i="8"/>
  <c r="G23" i="6"/>
  <c r="H23" i="6" s="1"/>
  <c r="G9" i="6"/>
  <c r="L24" i="6"/>
  <c r="K24" i="6"/>
  <c r="L24" i="5"/>
  <c r="K24" i="5"/>
  <c r="L24" i="4"/>
  <c r="K24" i="4"/>
  <c r="L24" i="3"/>
  <c r="K24" i="3"/>
  <c r="L24" i="2"/>
  <c r="K24" i="2"/>
  <c r="L24" i="1"/>
  <c r="L28" i="1" s="1"/>
  <c r="K24" i="1"/>
  <c r="K28" i="1" s="1"/>
  <c r="K25" i="2" l="1"/>
  <c r="K29" i="2" s="1"/>
  <c r="L25" i="2"/>
  <c r="L29" i="2" s="1"/>
  <c r="G3" i="10"/>
  <c r="K25" i="3" l="1"/>
  <c r="K29" i="3" s="1"/>
  <c r="L25" i="3"/>
  <c r="L29" i="3" s="1"/>
  <c r="K25" i="4" l="1"/>
  <c r="K29" i="4" s="1"/>
  <c r="L25" i="4"/>
  <c r="L29" i="4" s="1"/>
  <c r="G12" i="8"/>
  <c r="H12" i="8" s="1"/>
  <c r="G7" i="8"/>
  <c r="H7" i="8" s="1"/>
  <c r="H11" i="7"/>
  <c r="H10" i="7"/>
  <c r="I24" i="11"/>
  <c r="I24" i="10"/>
  <c r="I24" i="9"/>
  <c r="I24" i="8"/>
  <c r="I24" i="6"/>
  <c r="I24" i="5"/>
  <c r="I24" i="4"/>
  <c r="I24" i="3"/>
  <c r="I24" i="2"/>
  <c r="I24" i="1"/>
  <c r="H25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H22" i="7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H9" i="6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D25" i="8"/>
  <c r="G23" i="8"/>
  <c r="H23" i="8" s="1"/>
  <c r="H22" i="8"/>
  <c r="H20" i="8"/>
  <c r="H21" i="7"/>
  <c r="H20" i="7"/>
  <c r="H19" i="7"/>
  <c r="H18" i="7"/>
  <c r="H17" i="7"/>
  <c r="H16" i="7"/>
  <c r="H15" i="7"/>
  <c r="H14" i="7"/>
  <c r="H13" i="7"/>
  <c r="H12" i="7"/>
  <c r="H9" i="7"/>
  <c r="H8" i="7"/>
  <c r="H7" i="7"/>
  <c r="H6" i="7"/>
  <c r="H5" i="7"/>
  <c r="H4" i="7"/>
  <c r="H3" i="7"/>
  <c r="D24" i="6"/>
  <c r="G22" i="6"/>
  <c r="H22" i="6" s="1"/>
  <c r="G21" i="6"/>
  <c r="H21" i="6" s="1"/>
  <c r="D24" i="5"/>
  <c r="H21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K25" i="5" l="1"/>
  <c r="K29" i="5" s="1"/>
  <c r="L25" i="5"/>
  <c r="L29" i="5" s="1"/>
  <c r="H25" i="2"/>
  <c r="H25" i="3" s="1"/>
  <c r="H25" i="4" s="1"/>
  <c r="H25" i="5" s="1"/>
  <c r="H25" i="6" s="1"/>
  <c r="B25" i="2"/>
  <c r="B25" i="3" s="1"/>
  <c r="B25" i="4" s="1"/>
  <c r="B25" i="5" s="1"/>
  <c r="B25" i="6" s="1"/>
  <c r="K25" i="6" l="1"/>
  <c r="K29" i="6" s="1"/>
  <c r="H25" i="7"/>
  <c r="H25" i="8" s="1"/>
  <c r="H25" i="9" s="1"/>
  <c r="H25" i="10" s="1"/>
  <c r="H25" i="11" s="1"/>
  <c r="H25" i="12" s="1"/>
  <c r="B25" i="7"/>
  <c r="B26" i="8" s="1"/>
  <c r="B25" i="9" s="1"/>
  <c r="B25" i="10" s="1"/>
  <c r="B25" i="11" s="1"/>
  <c r="B25" i="12" s="1"/>
  <c r="L25" i="6"/>
  <c r="K25" i="7" l="1"/>
  <c r="K29" i="7" s="1"/>
  <c r="L29" i="6"/>
  <c r="L25" i="7"/>
  <c r="L29" i="7" s="1"/>
  <c r="K25" i="8" l="1"/>
  <c r="K29" i="8" s="1"/>
  <c r="L25" i="8"/>
  <c r="L29" i="8" s="1"/>
  <c r="K25" i="9" l="1"/>
  <c r="K29" i="9" s="1"/>
  <c r="L25" i="9"/>
  <c r="L29" i="9" s="1"/>
  <c r="K25" i="10" l="1"/>
  <c r="K29" i="10" s="1"/>
  <c r="L25" i="10"/>
  <c r="L29" i="10" s="1"/>
  <c r="K25" i="11" l="1"/>
  <c r="K29" i="11" s="1"/>
  <c r="L25" i="11"/>
  <c r="L29" i="11" s="1"/>
  <c r="K25" i="12" l="1"/>
  <c r="K29" i="12" s="1"/>
  <c r="L25" i="12"/>
  <c r="L29" i="12" s="1"/>
</calcChain>
</file>

<file path=xl/sharedStrings.xml><?xml version="1.0" encoding="utf-8"?>
<sst xmlns="http://schemas.openxmlformats.org/spreadsheetml/2006/main" count="313" uniqueCount="143">
  <si>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</si>
  <si>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</si>
  <si>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</si>
  <si>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</si>
  <si>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</si>
  <si>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</si>
  <si>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</si>
  <si>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</si>
  <si>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</si>
  <si>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</si>
  <si>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</si>
  <si>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</si>
  <si>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</si>
  <si>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</si>
  <si>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</si>
  <si>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</si>
  <si>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</si>
  <si>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</si>
  <si>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</si>
  <si>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</si>
  <si>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Brochard</t>
  </si>
  <si>
    <t>S1NEO</t>
  </si>
  <si>
    <t>Année 2021</t>
  </si>
  <si>
    <t>KM total</t>
  </si>
  <si>
    <t>Année 2022</t>
  </si>
  <si>
    <t>Km total 2023</t>
  </si>
  <si>
    <t>Chinon3 Moutiers Veniers Ceaux</t>
  </si>
  <si>
    <t>Chinon Roiffé Meigné Champigny</t>
  </si>
  <si>
    <t>Avoine Epennes Sammarcolles Marçay</t>
  </si>
  <si>
    <t>Avoine Langeais Avrillé Bourgueil</t>
  </si>
  <si>
    <t>Avoine Chaintre Brézé Bournand</t>
  </si>
  <si>
    <t>Avoine Courléon La Breille</t>
  </si>
  <si>
    <t>Avoine Courléon Vernoil Candes</t>
  </si>
  <si>
    <t>Avoine Couziers Morton 3 Moutiers</t>
  </si>
  <si>
    <t>Avoine La Chapelle aux Naux St Benoit</t>
  </si>
  <si>
    <t>Chinon Basses Insay Couziers</t>
  </si>
  <si>
    <t>Chinon Chaintre Montreuil Roiffé</t>
  </si>
  <si>
    <t>Avoine Langeais  La Rouchouze et retour</t>
  </si>
  <si>
    <t>Chinon Marçay Rossay Pouant</t>
  </si>
  <si>
    <t>Chinon Bourgueil Les essarts Langeais</t>
  </si>
  <si>
    <t>Chinon Courléon Vernoil Candes Chinon</t>
  </si>
  <si>
    <t>Avoinz Avrillé Langeais</t>
  </si>
  <si>
    <t>Rencontre de printemps à RICHELIEU</t>
  </si>
  <si>
    <t>Chinon Chaintre Courchamps Montreuil</t>
  </si>
  <si>
    <t>Avoine Courléon La breille</t>
  </si>
  <si>
    <t>Chinon IB Marigny Chaveigne</t>
  </si>
  <si>
    <t>Avoine Ceaux Claunay Bournand</t>
  </si>
  <si>
    <t>Montsoreau Airvault Prépa BRM</t>
  </si>
  <si>
    <t>Chinon Saumur MeignéBrézé Seuilly</t>
  </si>
  <si>
    <t>Avoine Cunault Meigné Couziers</t>
  </si>
  <si>
    <t>Avoine Gennes Dénezé Coudray Cinais</t>
  </si>
  <si>
    <t>BRM 200 Angers Laval Sablé</t>
  </si>
  <si>
    <t>Chinon Courléon Hommes Langeais</t>
  </si>
  <si>
    <t>Avoine 3 Moutiers Brézé couziers</t>
  </si>
  <si>
    <t>Prépa BRM Avoine Brissac</t>
  </si>
  <si>
    <t>Angers BRM 300</t>
  </si>
  <si>
    <t>Chinon Bourgueil Avrillé Langeais</t>
  </si>
  <si>
    <t>Chinon Langeais Ambillou Avrillé</t>
  </si>
  <si>
    <t>Avoine Montsoreau</t>
  </si>
  <si>
    <t>Avec Evelyne</t>
  </si>
  <si>
    <t>Chinon Cunault Montreuil Roiffé</t>
  </si>
  <si>
    <t>Avoine Prépa BRM 400</t>
  </si>
  <si>
    <t>Angers BRM 400 km</t>
  </si>
  <si>
    <t>Avoine Continvoir Cléré Langeais</t>
  </si>
  <si>
    <t>Prépa BRM Avoine St Paterne</t>
  </si>
  <si>
    <t>Prépa BRM Avoine Neuillé Pont Pierre</t>
  </si>
  <si>
    <t>Avoine Avrillé Langeais</t>
  </si>
  <si>
    <t>Prépa BRM Langeais Chinon IB Assay</t>
  </si>
  <si>
    <t>Chinon Continvoir Courléon</t>
  </si>
  <si>
    <t>Angers BRM 600 Carhaix Bretagne</t>
  </si>
  <si>
    <t>Alpes Laffrey Grenoble</t>
  </si>
  <si>
    <t>Alpes Col du Granon 2413 m</t>
  </si>
  <si>
    <t>1 Col 2413 m</t>
  </si>
  <si>
    <t>2 Cols 1153 et 1370 m</t>
  </si>
  <si>
    <t>Alpes Lautaret et Galibier</t>
  </si>
  <si>
    <t>2 Cols 2058 et 2642 m</t>
  </si>
  <si>
    <t>Alpes Izoard</t>
  </si>
  <si>
    <t>1 Col 2360 m</t>
  </si>
  <si>
    <t>Alpes Montée Alpe d'Huez</t>
  </si>
  <si>
    <t>Avoine Saumur Vivy Brain</t>
  </si>
  <si>
    <t>EGUZON</t>
  </si>
  <si>
    <t>EGUZON MAUPUY</t>
  </si>
  <si>
    <t>EGUZON Gargilesse</t>
  </si>
  <si>
    <t>EGUZON CROZANT</t>
  </si>
  <si>
    <t>Avoine Les Essards Langeais</t>
  </si>
  <si>
    <t>Avoine Loulou Mamoue</t>
  </si>
  <si>
    <t>Chinon La Chapelle Blanche</t>
  </si>
  <si>
    <t>Chinon Turquant Monfort Roiffé</t>
  </si>
  <si>
    <t>Avoine Bournand Curçay Roiffé</t>
  </si>
  <si>
    <t>Rando été 2023 Etape 1</t>
  </si>
  <si>
    <t>VTT + remorque</t>
  </si>
  <si>
    <t>Rando été 2023 Etape 2</t>
  </si>
  <si>
    <t>Rando été 2023 Etape 3</t>
  </si>
  <si>
    <t>Rando été 2023 Etape 4</t>
  </si>
  <si>
    <t>Rando été 2023 Etape 5</t>
  </si>
  <si>
    <t>Avoine Courchamp Chacé</t>
  </si>
  <si>
    <t>prépa PBP 2023</t>
  </si>
  <si>
    <t>prépa 2 PBP 2023</t>
  </si>
  <si>
    <t>AVOINE</t>
  </si>
  <si>
    <t>Avoine LOUIS</t>
  </si>
  <si>
    <t>prépa 3 PBP 2023</t>
  </si>
  <si>
    <t>Vent fort</t>
  </si>
  <si>
    <t>Avoine sortie club</t>
  </si>
  <si>
    <t>Avoine Prépa 4 PBP</t>
  </si>
  <si>
    <t>Avoine Prépa 5 PBP</t>
  </si>
  <si>
    <t>Rambouillet Fougères</t>
  </si>
  <si>
    <t>Fougères Loudéac</t>
  </si>
  <si>
    <t>PBP 2023</t>
  </si>
  <si>
    <t>Loudéac Carhaix</t>
  </si>
  <si>
    <t>Carhaix Brest Tinténiac</t>
  </si>
  <si>
    <t>Mortagne Dreux Rambouillet</t>
  </si>
  <si>
    <t>Tinténiac Vilaines la Juhel Mortagne</t>
  </si>
  <si>
    <t>Chinon 3 Moutiers Berry Epieds</t>
  </si>
  <si>
    <t>Baie de somme</t>
  </si>
  <si>
    <t>Cayeux sur mer</t>
  </si>
  <si>
    <t>Ault Tréport</t>
  </si>
  <si>
    <t>Chinon St epain Azay</t>
  </si>
  <si>
    <t>Avoine Fontevraud Meigné Distré</t>
  </si>
  <si>
    <t>Chinon Epenne Maulay Pouant</t>
  </si>
  <si>
    <t>Chinon St Epain SachéAzay</t>
  </si>
  <si>
    <t>Avoine Marçay Richelieu Tour St gelin</t>
  </si>
  <si>
    <t>Avoine Balade Loulou et Lulu</t>
  </si>
  <si>
    <t>Chinon IB Luzé Marcilly IB</t>
  </si>
  <si>
    <t>Chinon Champigny Rou Forges Montreuil</t>
  </si>
  <si>
    <t>Avoine La Breille Blou Allonnes</t>
  </si>
  <si>
    <t>Chinon Villeperdue Courtineau</t>
  </si>
  <si>
    <t>Chinon St Léger Insay Roiffé</t>
  </si>
  <si>
    <t>Avoine 3 Moutiers Douvy</t>
  </si>
  <si>
    <t>Chinon Saumur Meigné balloire</t>
  </si>
  <si>
    <t>Chinon St Cyr Balloire Bournand</t>
  </si>
  <si>
    <t>Avoine Turquant</t>
  </si>
  <si>
    <t>Chinon Chaintre Balloire Roiffé</t>
  </si>
  <si>
    <t>Avoine la Breille Allonnes</t>
  </si>
  <si>
    <t>Avoine Ceaux Maulay Bournand</t>
  </si>
  <si>
    <t>Avoine Bourgueil les Loges</t>
  </si>
  <si>
    <t>Chinon Ingrandes Langeais</t>
  </si>
  <si>
    <t>Chinon Fontevraud Bournand Ceaux</t>
  </si>
  <si>
    <t>Chinon  Fontevraud Chacé Balloire Roiffé</t>
  </si>
  <si>
    <t>Avoine Bourgueil Les Essarts Langeais</t>
  </si>
  <si>
    <t>Chinon Chacé Saix Roiffé</t>
  </si>
  <si>
    <t>Avoine Saumur Les ulmes Le Coudray</t>
  </si>
  <si>
    <t>Chinon Champigny Saix Roiffé</t>
  </si>
  <si>
    <t>Avoine St Cyr Morton Fontevraud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</si>
</sst>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16" fontId="0" fillId="0" borderId="1" xfId="0" applyNumberFormat="1" applyBorder="1"/>
    <xf numFmtId="0" fontId="4" fillId="2" borderId="0" xfId="0" applyFont="1" applyFill="1"/>
    <xf numFmtId="0" fontId="0" fillId="0" borderId="9" xfId="0" applyBorder="1"/>
    <xf numFmtId="0" fontId="5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2" fillId="0" borderId="8" xfId="0" applyFont="1" applyBorder="1"/>
    <xf numFmtId="0" fontId="0" fillId="0" borderId="10" xfId="0" applyBorder="1"/>
    <xf numFmtId="16" fontId="0" fillId="0" borderId="11" xfId="0" applyNumberFormat="1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Border="1"/>
    <xf numFmtId="16" fontId="0" fillId="0" borderId="0" xfId="0" applyNumberFormat="1"/>
    <xf numFmtId="14" fontId="0" fillId="2" borderId="2" xfId="0" applyNumberFormat="1" applyFill="1" applyBorder="1"/>
    <xf numFmtId="14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/>
    <xf numFmtId="14" fontId="3" fillId="0" borderId="2" xfId="0" applyNumberFormat="1" applyFont="1" applyBorder="1"/>
    <xf numFmtId="164" fontId="3" fillId="0" borderId="2" xfId="0" applyNumberFormat="1" applyFont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4" borderId="2" xfId="0" applyFill="1" applyBorder="1"/>
    <xf numFmtId="164" fontId="0" fillId="4" borderId="1" xfId="0" applyNumberFormat="1" applyFill="1" applyBorder="1"/>
    <xf numFmtId="14" fontId="5" fillId="4" borderId="1" xfId="0" applyNumberFormat="1" applyFont="1" applyFill="1" applyBorder="1"/>
    <xf numFmtId="0" fontId="5" fillId="4" borderId="1" xfId="0" applyFont="1" applyFill="1" applyBorder="1"/>
    <xf numFmtId="0" fontId="5" fillId="4" borderId="2" xfId="0" applyFont="1" applyFill="1" applyBorder="1"/>
    <xf numFmtId="164" fontId="5" fillId="4" borderId="1" xfId="0" applyNumberFormat="1" applyFont="1" applyFill="1" applyBorder="1"/>
    <xf numFmtId="164" fontId="5" fillId="4" borderId="2" xfId="0" applyNumberFormat="1" applyFont="1" applyFill="1" applyBorder="1"/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A22" sqref="A22"/>
    </sheetView>
  </sheetViews>
  <sheetFormatPr baseColWidth="10" defaultRowHeight="15" x14ac:dyDescent="0.25"/>
  <cols>
    <col min="1" max="1" width="13.140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5703125" style="1" bestFit="1" customWidth="1"/>
    <col min="9" max="9" width="11.5703125" style="1" customWidth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7" t="s">
        <v>7</v>
      </c>
      <c r="B1" s="57"/>
      <c r="C1" s="57"/>
      <c r="D1" s="57"/>
      <c r="E1" s="57"/>
      <c r="F1" s="57"/>
      <c r="G1" s="57"/>
      <c r="H1" s="15">
        <v>2023</v>
      </c>
      <c r="I1" s="15"/>
      <c r="J1" s="14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29" t="s">
        <v>5</v>
      </c>
      <c r="K2" s="33" t="s">
        <v>20</v>
      </c>
      <c r="L2" s="34" t="s">
        <v>21</v>
      </c>
    </row>
    <row r="3" spans="1:12" x14ac:dyDescent="0.25">
      <c r="A3" s="5">
        <v>44929</v>
      </c>
      <c r="B3" s="6" t="s">
        <v>26</v>
      </c>
      <c r="C3" s="6">
        <v>1</v>
      </c>
      <c r="D3" s="6">
        <v>79</v>
      </c>
      <c r="E3" s="6">
        <v>3</v>
      </c>
      <c r="F3" s="6">
        <v>26</v>
      </c>
      <c r="G3" s="6">
        <f>SUM(E3*60+F3)</f>
        <v>206</v>
      </c>
      <c r="H3" s="7">
        <f>SUM(D3/G3*60)</f>
        <v>23.009708737864077</v>
      </c>
      <c r="I3" s="7">
        <v>380</v>
      </c>
      <c r="J3" s="30"/>
      <c r="K3" s="6"/>
      <c r="L3" s="6">
        <v>79</v>
      </c>
    </row>
    <row r="4" spans="1:12" x14ac:dyDescent="0.25">
      <c r="A4" s="4">
        <v>44931</v>
      </c>
      <c r="B4" s="2" t="s">
        <v>27</v>
      </c>
      <c r="C4" s="6">
        <v>2</v>
      </c>
      <c r="D4" s="2">
        <v>81</v>
      </c>
      <c r="E4" s="2">
        <v>3</v>
      </c>
      <c r="F4" s="2">
        <v>28</v>
      </c>
      <c r="G4" s="2">
        <f t="shared" ref="G4:G23" si="0">SUM(E4*60+F4)</f>
        <v>208</v>
      </c>
      <c r="H4" s="3">
        <f t="shared" ref="H4:H23" si="1">SUM(D4/G4*60)</f>
        <v>23.365384615384617</v>
      </c>
      <c r="I4" s="7">
        <v>379</v>
      </c>
      <c r="J4" s="30"/>
      <c r="K4" s="2"/>
      <c r="L4" s="2">
        <v>81</v>
      </c>
    </row>
    <row r="5" spans="1:12" x14ac:dyDescent="0.25">
      <c r="A5" s="4">
        <v>44933</v>
      </c>
      <c r="B5" s="2" t="s">
        <v>28</v>
      </c>
      <c r="C5" s="6">
        <v>3</v>
      </c>
      <c r="D5" s="2">
        <v>65</v>
      </c>
      <c r="E5" s="2">
        <v>2</v>
      </c>
      <c r="F5" s="2">
        <v>52</v>
      </c>
      <c r="G5" s="2">
        <f t="shared" si="0"/>
        <v>172</v>
      </c>
      <c r="H5" s="3">
        <f t="shared" si="1"/>
        <v>22.674418604651162</v>
      </c>
      <c r="I5" s="3">
        <v>320</v>
      </c>
      <c r="J5" s="31"/>
      <c r="K5" s="2"/>
      <c r="L5" s="2">
        <v>65</v>
      </c>
    </row>
    <row r="6" spans="1:12" x14ac:dyDescent="0.25">
      <c r="A6" s="4">
        <v>44937</v>
      </c>
      <c r="B6" s="2" t="s">
        <v>29</v>
      </c>
      <c r="C6" s="6">
        <v>4</v>
      </c>
      <c r="D6" s="2">
        <v>79</v>
      </c>
      <c r="E6" s="2">
        <v>3</v>
      </c>
      <c r="F6" s="2">
        <v>8</v>
      </c>
      <c r="G6" s="2">
        <f t="shared" si="0"/>
        <v>188</v>
      </c>
      <c r="H6" s="3">
        <f t="shared" si="1"/>
        <v>25.212765957446809</v>
      </c>
      <c r="I6" s="3">
        <v>379</v>
      </c>
      <c r="J6" s="30"/>
      <c r="K6" s="2"/>
      <c r="L6" s="2">
        <v>79</v>
      </c>
    </row>
    <row r="7" spans="1:12" x14ac:dyDescent="0.25">
      <c r="A7" s="4">
        <v>44940</v>
      </c>
      <c r="B7" s="2" t="s">
        <v>30</v>
      </c>
      <c r="C7" s="6">
        <v>5</v>
      </c>
      <c r="D7" s="2">
        <v>68</v>
      </c>
      <c r="E7" s="2">
        <v>2</v>
      </c>
      <c r="F7" s="2">
        <v>53</v>
      </c>
      <c r="G7" s="2">
        <f t="shared" si="0"/>
        <v>173</v>
      </c>
      <c r="H7" s="3">
        <f t="shared" si="1"/>
        <v>23.583815028901736</v>
      </c>
      <c r="I7" s="3">
        <v>257</v>
      </c>
      <c r="J7" s="30"/>
      <c r="K7" s="2"/>
      <c r="L7" s="2">
        <v>68</v>
      </c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32"/>
      <c r="K8" s="2"/>
      <c r="L8" s="2"/>
    </row>
    <row r="9" spans="1:12" x14ac:dyDescent="0.25">
      <c r="A9" s="4"/>
      <c r="B9" s="21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32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3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30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3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3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3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3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3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3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3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3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3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3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3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32"/>
      <c r="K23" s="2"/>
      <c r="L23" s="2"/>
    </row>
    <row r="24" spans="1:12" x14ac:dyDescent="0.25">
      <c r="D24">
        <f>SUM(D3:D23)</f>
        <v>372</v>
      </c>
      <c r="I24" s="1">
        <f>SUM(I3:I23)</f>
        <v>1715</v>
      </c>
      <c r="K24">
        <f>SUM(K3:K23)</f>
        <v>0</v>
      </c>
      <c r="L24">
        <f>SUM(L3:L23)</f>
        <v>372</v>
      </c>
    </row>
    <row r="25" spans="1:12" x14ac:dyDescent="0.25">
      <c r="A25" t="s">
        <v>25</v>
      </c>
      <c r="B25">
        <f>SUM(D24+0)</f>
        <v>372</v>
      </c>
      <c r="H25" s="1">
        <f>SUM(I24+0)</f>
        <v>1715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6043</v>
      </c>
    </row>
    <row r="28" spans="1:12" x14ac:dyDescent="0.25">
      <c r="J28" t="s">
        <v>23</v>
      </c>
      <c r="K28">
        <f>SUM(K24+K26+K27)</f>
        <v>4763</v>
      </c>
      <c r="L28">
        <f>SUM(L24+L26+L27)</f>
        <v>16103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opLeftCell="A4" workbookViewId="0">
      <selection activeCell="A28" sqref="A28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7" t="s">
        <v>8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44961</v>
      </c>
      <c r="B3" s="6" t="s">
        <v>31</v>
      </c>
      <c r="C3" s="6">
        <v>1</v>
      </c>
      <c r="D3" s="6">
        <v>62</v>
      </c>
      <c r="E3" s="6">
        <v>2</v>
      </c>
      <c r="F3" s="6">
        <v>49</v>
      </c>
      <c r="G3" s="6">
        <f>SUM(E3*60+F3)</f>
        <v>169</v>
      </c>
      <c r="H3" s="7">
        <f>SUM(D3/G3*60)</f>
        <v>22.011834319526628</v>
      </c>
      <c r="I3" s="7">
        <v>259</v>
      </c>
      <c r="J3" s="6"/>
      <c r="K3" s="6"/>
      <c r="L3" s="6">
        <v>62</v>
      </c>
    </row>
    <row r="4" spans="1:12" x14ac:dyDescent="0.25">
      <c r="A4" s="4">
        <v>44964</v>
      </c>
      <c r="B4" s="2" t="s">
        <v>32</v>
      </c>
      <c r="C4" s="6">
        <v>2</v>
      </c>
      <c r="D4" s="2">
        <v>68</v>
      </c>
      <c r="E4" s="2">
        <v>2</v>
      </c>
      <c r="F4" s="2">
        <v>50</v>
      </c>
      <c r="G4" s="2">
        <f t="shared" ref="G4:G23" si="0">SUM(E4*60+F4)</f>
        <v>170</v>
      </c>
      <c r="H4" s="3">
        <f t="shared" ref="H4:H23" si="1">SUM(D4/G4*60)</f>
        <v>24</v>
      </c>
      <c r="I4" s="7">
        <v>302</v>
      </c>
      <c r="J4" s="2"/>
      <c r="K4" s="2"/>
      <c r="L4" s="2">
        <v>68</v>
      </c>
    </row>
    <row r="5" spans="1:12" x14ac:dyDescent="0.25">
      <c r="A5" s="4">
        <v>44966</v>
      </c>
      <c r="B5" s="2" t="s">
        <v>33</v>
      </c>
      <c r="C5" s="6">
        <v>3</v>
      </c>
      <c r="D5" s="2">
        <v>80</v>
      </c>
      <c r="E5" s="2">
        <v>3</v>
      </c>
      <c r="F5" s="2">
        <v>22</v>
      </c>
      <c r="G5" s="2">
        <f t="shared" si="0"/>
        <v>202</v>
      </c>
      <c r="H5" s="3">
        <f t="shared" si="1"/>
        <v>23.762376237623762</v>
      </c>
      <c r="I5" s="3">
        <v>340</v>
      </c>
      <c r="J5" s="2"/>
      <c r="K5" s="2"/>
      <c r="L5" s="2">
        <v>80</v>
      </c>
    </row>
    <row r="6" spans="1:12" x14ac:dyDescent="0.25">
      <c r="A6" s="4">
        <v>44968</v>
      </c>
      <c r="B6" s="2" t="s">
        <v>34</v>
      </c>
      <c r="C6" s="6">
        <v>4</v>
      </c>
      <c r="D6" s="2">
        <v>54</v>
      </c>
      <c r="E6" s="2">
        <v>2</v>
      </c>
      <c r="F6" s="2">
        <v>21</v>
      </c>
      <c r="G6" s="2">
        <f t="shared" si="0"/>
        <v>141</v>
      </c>
      <c r="H6" s="3">
        <f t="shared" si="1"/>
        <v>22.978723404255319</v>
      </c>
      <c r="I6" s="3">
        <v>160</v>
      </c>
      <c r="J6" s="2"/>
      <c r="K6" s="2"/>
      <c r="L6" s="2">
        <v>54</v>
      </c>
    </row>
    <row r="7" spans="1:12" x14ac:dyDescent="0.25">
      <c r="A7" s="4">
        <v>44971</v>
      </c>
      <c r="B7" s="2" t="s">
        <v>35</v>
      </c>
      <c r="C7" s="6">
        <v>5</v>
      </c>
      <c r="D7" s="2">
        <v>90</v>
      </c>
      <c r="E7" s="2">
        <v>3</v>
      </c>
      <c r="F7" s="2">
        <v>37</v>
      </c>
      <c r="G7" s="2">
        <f t="shared" si="0"/>
        <v>217</v>
      </c>
      <c r="H7" s="3">
        <f t="shared" si="1"/>
        <v>24.88479262672811</v>
      </c>
      <c r="I7" s="3">
        <v>447</v>
      </c>
      <c r="J7" s="6"/>
      <c r="K7" s="2"/>
      <c r="L7" s="2">
        <v>90</v>
      </c>
    </row>
    <row r="8" spans="1:12" x14ac:dyDescent="0.25">
      <c r="A8" s="4">
        <v>44973</v>
      </c>
      <c r="B8" s="2" t="s">
        <v>36</v>
      </c>
      <c r="C8" s="6">
        <v>6</v>
      </c>
      <c r="D8" s="2">
        <v>88</v>
      </c>
      <c r="E8" s="2">
        <v>3</v>
      </c>
      <c r="F8" s="2">
        <v>33</v>
      </c>
      <c r="G8" s="2">
        <f t="shared" si="0"/>
        <v>213</v>
      </c>
      <c r="H8" s="3">
        <f t="shared" si="1"/>
        <v>24.7887323943662</v>
      </c>
      <c r="I8" s="3">
        <v>382</v>
      </c>
      <c r="J8" s="2"/>
      <c r="K8" s="2"/>
      <c r="L8" s="2">
        <v>88</v>
      </c>
    </row>
    <row r="9" spans="1:12" x14ac:dyDescent="0.25">
      <c r="A9" s="4">
        <v>44977</v>
      </c>
      <c r="B9" s="2" t="s">
        <v>37</v>
      </c>
      <c r="C9" s="6">
        <v>7</v>
      </c>
      <c r="D9" s="2">
        <v>71</v>
      </c>
      <c r="E9" s="2">
        <v>2</v>
      </c>
      <c r="F9" s="2">
        <v>48</v>
      </c>
      <c r="G9" s="2">
        <f t="shared" si="0"/>
        <v>168</v>
      </c>
      <c r="H9" s="3">
        <f t="shared" si="1"/>
        <v>25.357142857142858</v>
      </c>
      <c r="I9" s="3">
        <v>216</v>
      </c>
      <c r="J9" s="2"/>
      <c r="K9" s="19"/>
      <c r="L9" s="2">
        <v>71</v>
      </c>
    </row>
    <row r="10" spans="1:12" x14ac:dyDescent="0.25">
      <c r="A10" s="4">
        <v>44978</v>
      </c>
      <c r="B10" s="2" t="s">
        <v>38</v>
      </c>
      <c r="C10" s="6">
        <v>8</v>
      </c>
      <c r="D10" s="2">
        <v>86</v>
      </c>
      <c r="E10" s="2">
        <v>3</v>
      </c>
      <c r="F10" s="2">
        <v>25</v>
      </c>
      <c r="G10" s="2">
        <f t="shared" si="0"/>
        <v>205</v>
      </c>
      <c r="H10" s="3">
        <f t="shared" si="1"/>
        <v>25.170731707317071</v>
      </c>
      <c r="I10" s="7">
        <v>311</v>
      </c>
      <c r="J10" s="2"/>
      <c r="K10" s="2"/>
      <c r="L10" s="2">
        <v>86</v>
      </c>
    </row>
    <row r="11" spans="1:12" x14ac:dyDescent="0.25">
      <c r="A11" s="4">
        <v>44985</v>
      </c>
      <c r="B11" s="2" t="s">
        <v>39</v>
      </c>
      <c r="C11" s="6">
        <v>9</v>
      </c>
      <c r="D11" s="2">
        <v>76</v>
      </c>
      <c r="E11" s="2">
        <v>3</v>
      </c>
      <c r="F11" s="2">
        <v>19</v>
      </c>
      <c r="G11" s="2">
        <f t="shared" si="0"/>
        <v>199</v>
      </c>
      <c r="H11" s="3">
        <f t="shared" si="1"/>
        <v>22.914572864321606</v>
      </c>
      <c r="I11" s="3">
        <v>234</v>
      </c>
      <c r="J11" s="2"/>
      <c r="K11" s="2"/>
      <c r="L11" s="2">
        <v>76</v>
      </c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675</v>
      </c>
      <c r="I24" s="1">
        <f>SUM(I3:I23)</f>
        <v>2651</v>
      </c>
      <c r="K24">
        <f>SUM(K3:K23)</f>
        <v>0</v>
      </c>
      <c r="L24">
        <f>SUM(L3:L23)</f>
        <v>675</v>
      </c>
    </row>
    <row r="25" spans="1:12" x14ac:dyDescent="0.25">
      <c r="A25" t="s">
        <v>25</v>
      </c>
      <c r="B25">
        <f>SUM(Janv!B25+Fév!D24)</f>
        <v>1047</v>
      </c>
      <c r="H25" s="1">
        <f>SUM(Janv!H25+Fév!I24)</f>
        <v>4366</v>
      </c>
      <c r="K25">
        <f>SUM(Janv!K24+Fév!K24)</f>
        <v>0</v>
      </c>
      <c r="L25">
        <f>SUM(Janv!L24+Fév!L24)</f>
        <v>1047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4763</v>
      </c>
      <c r="L29">
        <f>SUM(L25+L27+L28)</f>
        <v>16778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A14" sqref="A14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7" t="s">
        <v>9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44987</v>
      </c>
      <c r="B3" s="6" t="s">
        <v>40</v>
      </c>
      <c r="C3" s="6">
        <v>1</v>
      </c>
      <c r="D3" s="6">
        <v>95</v>
      </c>
      <c r="E3" s="6">
        <v>3</v>
      </c>
      <c r="F3" s="6">
        <v>42</v>
      </c>
      <c r="G3" s="6">
        <f>SUM(E3*60+F3)</f>
        <v>222</v>
      </c>
      <c r="H3" s="7">
        <f>SUM(D3/G3*60)</f>
        <v>25.675675675675677</v>
      </c>
      <c r="I3" s="7">
        <v>367</v>
      </c>
      <c r="J3" s="6"/>
      <c r="K3" s="6"/>
      <c r="L3" s="6">
        <v>95</v>
      </c>
    </row>
    <row r="4" spans="1:12" x14ac:dyDescent="0.25">
      <c r="A4" s="4">
        <v>44989</v>
      </c>
      <c r="B4" s="6" t="s">
        <v>41</v>
      </c>
      <c r="C4" s="6">
        <v>2</v>
      </c>
      <c r="D4" s="2">
        <v>75</v>
      </c>
      <c r="E4" s="2">
        <v>3</v>
      </c>
      <c r="F4" s="2">
        <v>6</v>
      </c>
      <c r="G4" s="2">
        <f t="shared" ref="G4:G23" si="0">SUM(E4*60+F4)</f>
        <v>186</v>
      </c>
      <c r="H4" s="3">
        <f t="shared" ref="H4:H23" si="1">SUM(D4/G4*60)</f>
        <v>24.193548387096772</v>
      </c>
      <c r="I4" s="7">
        <v>271</v>
      </c>
      <c r="J4" s="2"/>
      <c r="K4" s="2">
        <v>75</v>
      </c>
      <c r="L4" s="2"/>
    </row>
    <row r="5" spans="1:12" x14ac:dyDescent="0.25">
      <c r="A5" s="4">
        <v>44990</v>
      </c>
      <c r="B5" s="2" t="s">
        <v>42</v>
      </c>
      <c r="C5" s="6">
        <v>3</v>
      </c>
      <c r="D5" s="2">
        <v>67</v>
      </c>
      <c r="E5" s="2">
        <v>3</v>
      </c>
      <c r="F5" s="2">
        <v>12</v>
      </c>
      <c r="G5" s="2">
        <f t="shared" si="0"/>
        <v>192</v>
      </c>
      <c r="H5" s="3">
        <f t="shared" si="1"/>
        <v>20.9375</v>
      </c>
      <c r="I5" s="3">
        <v>258</v>
      </c>
      <c r="J5" s="2"/>
      <c r="K5" s="2">
        <v>67</v>
      </c>
      <c r="L5" s="2"/>
    </row>
    <row r="6" spans="1:12" x14ac:dyDescent="0.25">
      <c r="A6" s="4">
        <v>44992</v>
      </c>
      <c r="B6" s="2" t="s">
        <v>43</v>
      </c>
      <c r="C6" s="6">
        <v>4</v>
      </c>
      <c r="D6" s="2">
        <v>90</v>
      </c>
      <c r="E6" s="2">
        <v>3</v>
      </c>
      <c r="F6" s="2">
        <v>57</v>
      </c>
      <c r="G6" s="2">
        <f t="shared" si="0"/>
        <v>237</v>
      </c>
      <c r="H6" s="3">
        <f t="shared" si="1"/>
        <v>22.784810126582279</v>
      </c>
      <c r="I6" s="3">
        <v>378</v>
      </c>
      <c r="J6" s="2"/>
      <c r="K6" s="2">
        <v>90</v>
      </c>
      <c r="L6" s="2"/>
    </row>
    <row r="7" spans="1:12" x14ac:dyDescent="0.25">
      <c r="A7" s="4">
        <v>44999</v>
      </c>
      <c r="B7" s="2" t="s">
        <v>44</v>
      </c>
      <c r="C7" s="6">
        <v>5</v>
      </c>
      <c r="D7" s="2">
        <v>82</v>
      </c>
      <c r="E7" s="2">
        <v>3</v>
      </c>
      <c r="F7" s="2">
        <v>28</v>
      </c>
      <c r="G7" s="2">
        <f t="shared" si="0"/>
        <v>208</v>
      </c>
      <c r="H7" s="3">
        <f t="shared" si="1"/>
        <v>23.653846153846153</v>
      </c>
      <c r="I7" s="3">
        <v>419</v>
      </c>
      <c r="J7" s="2"/>
      <c r="K7" s="2">
        <v>82</v>
      </c>
      <c r="L7" s="2"/>
    </row>
    <row r="8" spans="1:12" x14ac:dyDescent="0.25">
      <c r="A8" s="4">
        <v>45001</v>
      </c>
      <c r="B8" s="2" t="s">
        <v>45</v>
      </c>
      <c r="C8" s="6">
        <v>6</v>
      </c>
      <c r="D8" s="2">
        <v>94</v>
      </c>
      <c r="E8" s="2">
        <v>3</v>
      </c>
      <c r="F8" s="2">
        <v>58</v>
      </c>
      <c r="G8" s="2">
        <f t="shared" si="0"/>
        <v>238</v>
      </c>
      <c r="H8" s="3">
        <f t="shared" si="1"/>
        <v>23.697478991596636</v>
      </c>
      <c r="I8" s="3">
        <v>390</v>
      </c>
      <c r="J8" s="2"/>
      <c r="K8" s="2"/>
      <c r="L8" s="2">
        <v>94</v>
      </c>
    </row>
    <row r="9" spans="1:12" x14ac:dyDescent="0.25">
      <c r="A9" s="4">
        <v>45003</v>
      </c>
      <c r="B9" s="2" t="s">
        <v>46</v>
      </c>
      <c r="C9" s="6">
        <v>7</v>
      </c>
      <c r="D9" s="2">
        <v>73</v>
      </c>
      <c r="E9" s="2">
        <v>3</v>
      </c>
      <c r="F9" s="2">
        <v>7</v>
      </c>
      <c r="G9" s="2">
        <f t="shared" si="0"/>
        <v>187</v>
      </c>
      <c r="H9" s="3">
        <f t="shared" si="1"/>
        <v>23.422459893048128</v>
      </c>
      <c r="I9" s="3">
        <v>326</v>
      </c>
      <c r="J9" s="2"/>
      <c r="K9" s="2">
        <v>73</v>
      </c>
      <c r="L9" s="2"/>
    </row>
    <row r="10" spans="1:12" x14ac:dyDescent="0.25">
      <c r="A10" s="4">
        <v>45006</v>
      </c>
      <c r="B10" s="2" t="s">
        <v>47</v>
      </c>
      <c r="C10" s="6">
        <v>8</v>
      </c>
      <c r="D10" s="2">
        <v>154</v>
      </c>
      <c r="E10" s="2">
        <v>6</v>
      </c>
      <c r="F10" s="2">
        <v>30</v>
      </c>
      <c r="G10" s="2">
        <f t="shared" si="0"/>
        <v>390</v>
      </c>
      <c r="H10" s="3">
        <f t="shared" si="1"/>
        <v>23.69230769230769</v>
      </c>
      <c r="I10" s="7">
        <v>742</v>
      </c>
      <c r="J10" s="2"/>
      <c r="K10" s="2">
        <v>154</v>
      </c>
      <c r="L10" s="2"/>
    </row>
    <row r="11" spans="1:12" x14ac:dyDescent="0.25">
      <c r="A11" s="4">
        <v>45008</v>
      </c>
      <c r="B11" s="2" t="s">
        <v>48</v>
      </c>
      <c r="C11" s="6">
        <v>9</v>
      </c>
      <c r="D11" s="2">
        <v>102</v>
      </c>
      <c r="E11" s="2">
        <v>4</v>
      </c>
      <c r="F11" s="2">
        <v>22</v>
      </c>
      <c r="G11" s="2">
        <f t="shared" si="0"/>
        <v>262</v>
      </c>
      <c r="H11" s="3">
        <f t="shared" si="1"/>
        <v>23.358778625954198</v>
      </c>
      <c r="I11" s="3">
        <v>406</v>
      </c>
      <c r="J11" s="2"/>
      <c r="K11" s="2">
        <v>102</v>
      </c>
      <c r="L11" s="2"/>
    </row>
    <row r="12" spans="1:12" x14ac:dyDescent="0.25">
      <c r="A12" s="4">
        <v>45010</v>
      </c>
      <c r="B12" s="2" t="s">
        <v>49</v>
      </c>
      <c r="C12" s="6">
        <v>10</v>
      </c>
      <c r="D12" s="2">
        <v>101</v>
      </c>
      <c r="E12" s="2">
        <v>4</v>
      </c>
      <c r="F12" s="2">
        <v>8</v>
      </c>
      <c r="G12" s="2">
        <f t="shared" si="0"/>
        <v>248</v>
      </c>
      <c r="H12" s="3">
        <f t="shared" si="1"/>
        <v>24.435483870967744</v>
      </c>
      <c r="I12" s="3">
        <v>440</v>
      </c>
      <c r="J12" s="2"/>
      <c r="K12" s="2">
        <v>101</v>
      </c>
      <c r="L12" s="2"/>
    </row>
    <row r="13" spans="1:12" x14ac:dyDescent="0.25">
      <c r="A13" s="4">
        <v>45013</v>
      </c>
      <c r="B13" s="2" t="s">
        <v>50</v>
      </c>
      <c r="C13" s="6">
        <v>11</v>
      </c>
      <c r="D13" s="2">
        <v>107</v>
      </c>
      <c r="E13" s="2">
        <v>4</v>
      </c>
      <c r="F13" s="2">
        <v>25</v>
      </c>
      <c r="G13" s="2">
        <f t="shared" si="0"/>
        <v>265</v>
      </c>
      <c r="H13" s="3">
        <f t="shared" si="1"/>
        <v>24.226415094339625</v>
      </c>
      <c r="I13" s="3">
        <v>459</v>
      </c>
      <c r="J13" s="2"/>
      <c r="K13" s="2">
        <v>107</v>
      </c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6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1040</v>
      </c>
      <c r="I24" s="1">
        <f>SUM(I3:I23)</f>
        <v>4456</v>
      </c>
      <c r="K24">
        <f>SUM(K3:K23)</f>
        <v>851</v>
      </c>
      <c r="L24">
        <f>SUM(L3:L23)</f>
        <v>189</v>
      </c>
    </row>
    <row r="25" spans="1:12" x14ac:dyDescent="0.25">
      <c r="A25" t="s">
        <v>25</v>
      </c>
      <c r="B25">
        <f>SUM(Fév!B25+Mar!D24)</f>
        <v>2087</v>
      </c>
      <c r="H25" s="1">
        <f>SUM(Fév!H25+Mar!I24)</f>
        <v>8822</v>
      </c>
      <c r="K25">
        <f>SUM(Fév!K25+Mar!K24)</f>
        <v>851</v>
      </c>
      <c r="L25">
        <f>SUM(Fév!L25+Mar!L24)</f>
        <v>1236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5614</v>
      </c>
      <c r="L29">
        <f>SUM(L25+L27+L28)</f>
        <v>16967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workbookViewId="0">
      <selection activeCell="J25" sqref="J25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42578125" style="1"/>
    <col min="9" max="9" width="7.85546875" style="1" customWidth="1"/>
    <col min="10" max="10" width="20.140625" customWidth="1"/>
    <col min="11" max="11" width="8.28515625" customWidth="1"/>
    <col min="12" max="12" width="6.28515625" customWidth="1"/>
  </cols>
  <sheetData>
    <row r="1" spans="1:12" ht="27" thickBot="1" x14ac:dyDescent="0.45">
      <c r="A1" s="57" t="s">
        <v>10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45018</v>
      </c>
      <c r="B3" s="6" t="s">
        <v>51</v>
      </c>
      <c r="C3" s="6">
        <v>1</v>
      </c>
      <c r="D3" s="6">
        <v>201</v>
      </c>
      <c r="E3" s="6">
        <v>8</v>
      </c>
      <c r="F3" s="6">
        <v>49</v>
      </c>
      <c r="G3" s="6">
        <f>SUM(E3*60+F3)</f>
        <v>529</v>
      </c>
      <c r="H3" s="7">
        <f>SUM(D3/G3*60)</f>
        <v>22.79773156899811</v>
      </c>
      <c r="I3" s="7">
        <v>1394</v>
      </c>
      <c r="J3" s="6"/>
      <c r="K3" s="6">
        <v>201</v>
      </c>
      <c r="L3" s="6"/>
    </row>
    <row r="4" spans="1:12" x14ac:dyDescent="0.25">
      <c r="A4" s="4">
        <v>45020</v>
      </c>
      <c r="B4" s="2" t="s">
        <v>52</v>
      </c>
      <c r="C4" s="6">
        <v>2</v>
      </c>
      <c r="D4" s="2">
        <v>107</v>
      </c>
      <c r="E4" s="2">
        <v>4</v>
      </c>
      <c r="F4" s="2">
        <v>18</v>
      </c>
      <c r="G4" s="2">
        <f t="shared" ref="G4:G23" si="0">SUM(E4*60+F4)</f>
        <v>258</v>
      </c>
      <c r="H4" s="3">
        <f t="shared" ref="H4:H23" si="1">SUM(D4/G4*60)</f>
        <v>24.88372093023256</v>
      </c>
      <c r="I4" s="7">
        <v>397</v>
      </c>
      <c r="J4" s="2"/>
      <c r="K4" s="2">
        <v>107</v>
      </c>
      <c r="L4" s="2"/>
    </row>
    <row r="5" spans="1:12" x14ac:dyDescent="0.25">
      <c r="A5" s="4">
        <v>45027</v>
      </c>
      <c r="B5" s="2" t="s">
        <v>53</v>
      </c>
      <c r="C5" s="6">
        <v>3</v>
      </c>
      <c r="D5" s="2">
        <v>95</v>
      </c>
      <c r="E5" s="2">
        <v>4</v>
      </c>
      <c r="F5" s="2"/>
      <c r="G5" s="2">
        <f t="shared" si="0"/>
        <v>240</v>
      </c>
      <c r="H5" s="3">
        <f t="shared" si="1"/>
        <v>23.75</v>
      </c>
      <c r="I5" s="3">
        <v>586</v>
      </c>
      <c r="J5" s="2"/>
      <c r="K5" s="2">
        <v>95</v>
      </c>
      <c r="L5" s="2"/>
    </row>
    <row r="6" spans="1:12" x14ac:dyDescent="0.25">
      <c r="A6" s="4">
        <v>45029</v>
      </c>
      <c r="B6" s="2" t="s">
        <v>54</v>
      </c>
      <c r="C6" s="6">
        <v>4</v>
      </c>
      <c r="D6" s="2">
        <v>143</v>
      </c>
      <c r="E6" s="2">
        <v>6</v>
      </c>
      <c r="F6" s="2">
        <v>15</v>
      </c>
      <c r="G6" s="2">
        <f t="shared" si="0"/>
        <v>375</v>
      </c>
      <c r="H6" s="3">
        <f t="shared" si="1"/>
        <v>22.880000000000003</v>
      </c>
      <c r="I6" s="3">
        <v>674</v>
      </c>
      <c r="J6" s="2"/>
      <c r="K6" s="2">
        <v>143</v>
      </c>
      <c r="L6" s="2"/>
    </row>
    <row r="7" spans="1:12" x14ac:dyDescent="0.25">
      <c r="A7" s="4">
        <v>45032</v>
      </c>
      <c r="B7" s="2" t="s">
        <v>55</v>
      </c>
      <c r="C7" s="6">
        <v>5</v>
      </c>
      <c r="D7" s="2">
        <v>300</v>
      </c>
      <c r="E7" s="2">
        <v>12</v>
      </c>
      <c r="F7" s="2">
        <v>47</v>
      </c>
      <c r="G7" s="2">
        <f t="shared" si="0"/>
        <v>767</v>
      </c>
      <c r="H7" s="3">
        <f t="shared" si="1"/>
        <v>23.468057366362451</v>
      </c>
      <c r="I7" s="3">
        <v>1536</v>
      </c>
      <c r="J7" s="2"/>
      <c r="K7" s="2">
        <v>300</v>
      </c>
      <c r="L7" s="2"/>
    </row>
    <row r="8" spans="1:12" x14ac:dyDescent="0.25">
      <c r="A8" s="4">
        <v>45034</v>
      </c>
      <c r="B8" s="2" t="s">
        <v>56</v>
      </c>
      <c r="C8" s="6">
        <v>6</v>
      </c>
      <c r="D8" s="2">
        <v>116</v>
      </c>
      <c r="E8" s="2">
        <v>4</v>
      </c>
      <c r="F8" s="2">
        <v>41</v>
      </c>
      <c r="G8" s="2">
        <f t="shared" si="0"/>
        <v>281</v>
      </c>
      <c r="H8" s="3">
        <f t="shared" si="1"/>
        <v>24.768683274021353</v>
      </c>
      <c r="I8" s="3">
        <v>468</v>
      </c>
      <c r="J8" s="2"/>
      <c r="K8" s="2">
        <v>116</v>
      </c>
      <c r="L8" s="2"/>
    </row>
    <row r="9" spans="1:12" x14ac:dyDescent="0.25">
      <c r="A9" s="4">
        <v>45036</v>
      </c>
      <c r="B9" s="2" t="s">
        <v>57</v>
      </c>
      <c r="C9" s="6">
        <v>7</v>
      </c>
      <c r="D9" s="2">
        <v>108</v>
      </c>
      <c r="E9" s="2">
        <v>4</v>
      </c>
      <c r="F9" s="2">
        <v>26</v>
      </c>
      <c r="G9" s="2">
        <f t="shared" si="0"/>
        <v>266</v>
      </c>
      <c r="H9" s="3">
        <f t="shared" si="1"/>
        <v>24.360902255639097</v>
      </c>
      <c r="I9" s="3">
        <v>415</v>
      </c>
      <c r="J9" s="2"/>
      <c r="K9" s="2">
        <v>108</v>
      </c>
      <c r="L9" s="2"/>
    </row>
    <row r="10" spans="1:12" x14ac:dyDescent="0.25">
      <c r="A10" s="4">
        <v>45041</v>
      </c>
      <c r="B10" s="2" t="s">
        <v>58</v>
      </c>
      <c r="C10" s="6">
        <v>8</v>
      </c>
      <c r="D10" s="2">
        <v>22</v>
      </c>
      <c r="E10" s="2">
        <v>1</v>
      </c>
      <c r="F10" s="2">
        <v>6</v>
      </c>
      <c r="G10" s="2">
        <f t="shared" si="0"/>
        <v>66</v>
      </c>
      <c r="H10" s="3">
        <f t="shared" si="1"/>
        <v>20</v>
      </c>
      <c r="I10" s="7">
        <v>43</v>
      </c>
      <c r="J10" s="2" t="s">
        <v>59</v>
      </c>
      <c r="K10" s="2">
        <v>22</v>
      </c>
      <c r="L10" s="2"/>
    </row>
    <row r="11" spans="1:12" x14ac:dyDescent="0.25">
      <c r="A11" s="4">
        <v>45041</v>
      </c>
      <c r="B11" s="2" t="s">
        <v>60</v>
      </c>
      <c r="C11" s="6">
        <v>9</v>
      </c>
      <c r="D11" s="2">
        <v>114</v>
      </c>
      <c r="E11" s="2">
        <v>4</v>
      </c>
      <c r="F11" s="2">
        <v>30</v>
      </c>
      <c r="G11" s="2">
        <f t="shared" si="0"/>
        <v>270</v>
      </c>
      <c r="H11" s="3">
        <f t="shared" si="1"/>
        <v>25.333333333333332</v>
      </c>
      <c r="I11" s="3">
        <v>468</v>
      </c>
      <c r="J11" s="2"/>
      <c r="K11" s="2">
        <v>114</v>
      </c>
      <c r="L11" s="2"/>
    </row>
    <row r="12" spans="1:12" x14ac:dyDescent="0.25">
      <c r="A12" s="4">
        <v>45043</v>
      </c>
      <c r="B12" s="2" t="s">
        <v>61</v>
      </c>
      <c r="C12" s="6">
        <v>10</v>
      </c>
      <c r="D12" s="2">
        <v>125</v>
      </c>
      <c r="E12" s="2">
        <v>5</v>
      </c>
      <c r="F12" s="2">
        <v>40</v>
      </c>
      <c r="G12" s="2">
        <f t="shared" si="0"/>
        <v>340</v>
      </c>
      <c r="H12" s="3">
        <f t="shared" si="1"/>
        <v>22.058823529411768</v>
      </c>
      <c r="I12" s="3">
        <v>850</v>
      </c>
      <c r="J12" s="2"/>
      <c r="K12" s="2">
        <v>125</v>
      </c>
      <c r="L12" s="2"/>
    </row>
    <row r="13" spans="1:12" x14ac:dyDescent="0.25">
      <c r="A13" s="4">
        <v>45045</v>
      </c>
      <c r="B13" s="2" t="s">
        <v>63</v>
      </c>
      <c r="C13" s="6">
        <v>11</v>
      </c>
      <c r="D13" s="2">
        <v>82</v>
      </c>
      <c r="E13" s="2">
        <v>3</v>
      </c>
      <c r="F13" s="2">
        <v>19</v>
      </c>
      <c r="G13" s="2">
        <f t="shared" si="0"/>
        <v>199</v>
      </c>
      <c r="H13" s="3">
        <f t="shared" si="1"/>
        <v>24.723618090452263</v>
      </c>
      <c r="I13" s="3">
        <v>268</v>
      </c>
      <c r="J13" s="2"/>
      <c r="K13" s="2">
        <v>82</v>
      </c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1413</v>
      </c>
      <c r="I24" s="1">
        <f>SUM(I3:I23)</f>
        <v>7099</v>
      </c>
      <c r="K24">
        <f>SUM(K3:K23)</f>
        <v>1413</v>
      </c>
      <c r="L24">
        <f>SUM(L3:L23)</f>
        <v>0</v>
      </c>
    </row>
    <row r="25" spans="1:12" x14ac:dyDescent="0.25">
      <c r="A25" t="s">
        <v>25</v>
      </c>
      <c r="B25">
        <f>SUM(Mar!B25+Avr!D24)</f>
        <v>3500</v>
      </c>
      <c r="H25" s="1">
        <f>SUM(Mar!H25+Avr!I24)</f>
        <v>15921</v>
      </c>
      <c r="K25">
        <f>SUM(Mar!K25+Avr!K24)</f>
        <v>2264</v>
      </c>
      <c r="L25">
        <f>SUM(Mar!L25+Avr!L24)</f>
        <v>1236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7027</v>
      </c>
      <c r="L29">
        <f>SUM(L25+L27+L28)</f>
        <v>16967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29"/>
  <sheetViews>
    <sheetView showOutlineSymbols="0" workbookViewId="0">
      <selection activeCell="E13" sqref="E13"/>
    </sheetView>
  </sheetViews>
  <sheetFormatPr baseColWidth="10" defaultRowHeight="15" outlineLevelRow="1" outlineLevelCol="2" x14ac:dyDescent="0.25"/>
  <cols>
    <col min="1" max="1" width="12.42578125" customWidth="1"/>
    <col min="2" max="2" width="34.28515625" customWidth="1"/>
    <col min="3" max="3" width="4" customWidth="1"/>
    <col min="4" max="4" width="12" customWidth="1" outlineLevel="1"/>
    <col min="5" max="5" width="5.7109375" customWidth="1" outlineLevel="2"/>
    <col min="6" max="6" width="5.85546875" customWidth="1" outlineLevel="2"/>
    <col min="7" max="7" width="5.7109375" customWidth="1" outlineLevel="1"/>
    <col min="8" max="9" width="11.42578125" style="1"/>
    <col min="10" max="10" width="18.5703125" customWidth="1"/>
  </cols>
  <sheetData>
    <row r="1" spans="1:12" ht="27" thickBot="1" x14ac:dyDescent="0.45">
      <c r="A1" s="57" t="s">
        <v>11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outlineLevel="1" x14ac:dyDescent="0.25">
      <c r="A3" s="41">
        <v>45052</v>
      </c>
      <c r="B3" s="39" t="s">
        <v>62</v>
      </c>
      <c r="C3" s="39">
        <v>1</v>
      </c>
      <c r="D3" s="39">
        <v>400</v>
      </c>
      <c r="E3" s="39">
        <v>17</v>
      </c>
      <c r="F3" s="39">
        <v>56</v>
      </c>
      <c r="G3" s="39">
        <f>SUM(E3*60+F3)</f>
        <v>1076</v>
      </c>
      <c r="H3" s="42">
        <f>SUM(D3/G3*60)</f>
        <v>22.304832713754646</v>
      </c>
      <c r="I3" s="42">
        <v>2142</v>
      </c>
      <c r="J3" s="6"/>
      <c r="K3" s="6">
        <v>400</v>
      </c>
      <c r="L3" s="6"/>
    </row>
    <row r="4" spans="1:12" outlineLevel="1" x14ac:dyDescent="0.25">
      <c r="A4" s="4">
        <v>45059</v>
      </c>
      <c r="B4" s="2" t="s">
        <v>64</v>
      </c>
      <c r="C4" s="6">
        <v>2</v>
      </c>
      <c r="D4" s="2">
        <v>157</v>
      </c>
      <c r="E4" s="2">
        <v>6</v>
      </c>
      <c r="F4" s="2">
        <v>42</v>
      </c>
      <c r="G4" s="2">
        <f t="shared" ref="G4:G23" si="0">SUM(E4*60+F4)</f>
        <v>402</v>
      </c>
      <c r="H4" s="3">
        <f t="shared" ref="H4:H23" si="1">SUM(D4/G4*60)</f>
        <v>23.432835820895523</v>
      </c>
      <c r="I4" s="7">
        <v>639</v>
      </c>
      <c r="J4" s="2"/>
      <c r="K4" s="2">
        <v>157</v>
      </c>
      <c r="L4" s="2"/>
    </row>
    <row r="5" spans="1:12" outlineLevel="1" x14ac:dyDescent="0.25">
      <c r="A5" s="4">
        <v>45062</v>
      </c>
      <c r="B5" t="s">
        <v>52</v>
      </c>
      <c r="C5" s="6">
        <v>3</v>
      </c>
      <c r="D5" s="2">
        <v>107</v>
      </c>
      <c r="E5" s="2">
        <v>4</v>
      </c>
      <c r="F5" s="2">
        <v>10</v>
      </c>
      <c r="G5" s="2">
        <f t="shared" si="0"/>
        <v>250</v>
      </c>
      <c r="H5" s="3">
        <f t="shared" si="1"/>
        <v>25.68</v>
      </c>
      <c r="I5" s="3">
        <v>438</v>
      </c>
      <c r="J5" s="2"/>
      <c r="K5" s="2">
        <v>107</v>
      </c>
      <c r="L5" s="2"/>
    </row>
    <row r="6" spans="1:12" outlineLevel="1" x14ac:dyDescent="0.25">
      <c r="A6" s="4">
        <v>45064</v>
      </c>
      <c r="B6" s="2" t="s">
        <v>65</v>
      </c>
      <c r="C6" s="6">
        <v>4</v>
      </c>
      <c r="D6" s="2">
        <v>165</v>
      </c>
      <c r="E6" s="2">
        <v>7</v>
      </c>
      <c r="F6" s="2">
        <v>11</v>
      </c>
      <c r="G6" s="2">
        <f t="shared" si="0"/>
        <v>431</v>
      </c>
      <c r="H6" s="3">
        <f t="shared" si="1"/>
        <v>22.96983758700696</v>
      </c>
      <c r="I6" s="3">
        <v>727</v>
      </c>
      <c r="J6" s="2"/>
      <c r="K6" s="2">
        <v>165</v>
      </c>
      <c r="L6" s="2"/>
    </row>
    <row r="7" spans="1:12" outlineLevel="1" x14ac:dyDescent="0.25">
      <c r="A7" s="4">
        <v>45066</v>
      </c>
      <c r="B7" s="2" t="s">
        <v>66</v>
      </c>
      <c r="C7" s="6">
        <v>5</v>
      </c>
      <c r="D7" s="2">
        <v>77</v>
      </c>
      <c r="E7" s="2">
        <v>3</v>
      </c>
      <c r="F7" s="2">
        <v>9</v>
      </c>
      <c r="G7" s="2">
        <f t="shared" si="0"/>
        <v>189</v>
      </c>
      <c r="H7" s="3">
        <f t="shared" si="1"/>
        <v>24.444444444444443</v>
      </c>
      <c r="I7" s="3">
        <v>332</v>
      </c>
      <c r="J7" s="2"/>
      <c r="K7" s="2">
        <v>77</v>
      </c>
      <c r="L7" s="2"/>
    </row>
    <row r="8" spans="1:12" outlineLevel="1" x14ac:dyDescent="0.25">
      <c r="A8" s="4">
        <v>45069</v>
      </c>
      <c r="B8" s="2" t="s">
        <v>67</v>
      </c>
      <c r="C8" s="6">
        <v>6</v>
      </c>
      <c r="D8" s="2">
        <v>156</v>
      </c>
      <c r="E8" s="2">
        <v>6</v>
      </c>
      <c r="F8" s="2">
        <v>45</v>
      </c>
      <c r="G8" s="2">
        <f t="shared" si="0"/>
        <v>405</v>
      </c>
      <c r="H8" s="3">
        <f t="shared" si="1"/>
        <v>23.111111111111111</v>
      </c>
      <c r="I8" s="3">
        <v>794</v>
      </c>
      <c r="J8" s="2"/>
      <c r="K8" s="2">
        <v>156</v>
      </c>
      <c r="L8" s="2"/>
    </row>
    <row r="9" spans="1:12" outlineLevel="1" x14ac:dyDescent="0.25">
      <c r="A9" s="38">
        <v>45072</v>
      </c>
      <c r="B9" s="17" t="s">
        <v>69</v>
      </c>
      <c r="C9" s="39">
        <v>7</v>
      </c>
      <c r="D9" s="17">
        <v>601</v>
      </c>
      <c r="E9" s="17">
        <v>30</v>
      </c>
      <c r="F9" s="17">
        <v>18</v>
      </c>
      <c r="G9" s="17">
        <f t="shared" si="0"/>
        <v>1818</v>
      </c>
      <c r="H9" s="40">
        <f t="shared" si="1"/>
        <v>19.834983498349835</v>
      </c>
      <c r="I9" s="40">
        <v>5500</v>
      </c>
      <c r="J9" s="2"/>
      <c r="K9" s="2">
        <v>601</v>
      </c>
      <c r="L9" s="2"/>
    </row>
    <row r="10" spans="1:12" outlineLevel="1" x14ac:dyDescent="0.25">
      <c r="A10" s="4">
        <v>45076</v>
      </c>
      <c r="B10" s="2" t="s">
        <v>68</v>
      </c>
      <c r="C10" s="6">
        <v>8</v>
      </c>
      <c r="D10" s="2">
        <v>84</v>
      </c>
      <c r="E10" s="2">
        <v>3</v>
      </c>
      <c r="F10" s="2">
        <v>44</v>
      </c>
      <c r="G10" s="2">
        <f t="shared" si="0"/>
        <v>224</v>
      </c>
      <c r="H10" s="3">
        <f t="shared" si="1"/>
        <v>22.5</v>
      </c>
      <c r="I10" s="7">
        <v>365</v>
      </c>
      <c r="J10" s="2"/>
      <c r="K10" s="2">
        <v>84</v>
      </c>
      <c r="L10" s="2"/>
    </row>
    <row r="11" spans="1:12" outlineLevel="1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outlineLevel="1" x14ac:dyDescent="0.25">
      <c r="A12" s="4"/>
      <c r="B12" s="6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outlineLevel="1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outlineLevel="1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outlineLevel="1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outlineLevel="1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outlineLevel="1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outlineLevel="1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outlineLevel="1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outlineLevel="1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outlineLevel="1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outlineLevel="1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outlineLevel="1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1747</v>
      </c>
      <c r="I24" s="1">
        <f>SUM(I3:I23)</f>
        <v>10937</v>
      </c>
      <c r="K24">
        <f>SUM(K3:K23)</f>
        <v>1747</v>
      </c>
      <c r="L24">
        <f>SUM(L3:L23)</f>
        <v>0</v>
      </c>
    </row>
    <row r="25" spans="1:12" x14ac:dyDescent="0.25">
      <c r="A25" t="s">
        <v>25</v>
      </c>
      <c r="B25">
        <f>SUM(Avr!B25+Mai!D24)</f>
        <v>5247</v>
      </c>
      <c r="H25" s="1">
        <f>SUM(Avr!H25+Mai!I24)</f>
        <v>26858</v>
      </c>
      <c r="K25">
        <f>SUM(Avr!K25+Mai!K24)</f>
        <v>4011</v>
      </c>
      <c r="L25">
        <f>SUM(Avr!L25+Mai!L24)</f>
        <v>1236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8774</v>
      </c>
      <c r="L29">
        <f>SUM(L25+L27+L28)</f>
        <v>16967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workbookViewId="0">
      <selection activeCell="G3" sqref="G3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12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45079</v>
      </c>
      <c r="B3" s="6" t="s">
        <v>70</v>
      </c>
      <c r="C3" s="6">
        <v>1</v>
      </c>
      <c r="D3" s="6">
        <v>84</v>
      </c>
      <c r="E3" s="6">
        <v>4</v>
      </c>
      <c r="F3" s="6">
        <v>48</v>
      </c>
      <c r="G3" s="6">
        <f>SUM(E3*60+F3)</f>
        <v>288</v>
      </c>
      <c r="H3" s="7">
        <f>SUM(D3/G3*60)</f>
        <v>17.5</v>
      </c>
      <c r="I3" s="7">
        <v>2087</v>
      </c>
      <c r="J3" s="2" t="s">
        <v>73</v>
      </c>
      <c r="K3" s="6">
        <v>84</v>
      </c>
      <c r="L3" s="6"/>
    </row>
    <row r="4" spans="1:12" x14ac:dyDescent="0.25">
      <c r="A4" s="4">
        <v>45080</v>
      </c>
      <c r="B4" s="2" t="s">
        <v>71</v>
      </c>
      <c r="C4" s="6">
        <v>2</v>
      </c>
      <c r="D4" s="2">
        <v>41</v>
      </c>
      <c r="E4" s="2">
        <v>2</v>
      </c>
      <c r="F4" s="2">
        <v>58</v>
      </c>
      <c r="G4" s="6">
        <f t="shared" ref="G4:G20" si="0">SUM(E4*60+F4)</f>
        <v>178</v>
      </c>
      <c r="H4" s="3">
        <f t="shared" ref="H4:H23" si="1">SUM(D4/G4*60)</f>
        <v>13.820224719101123</v>
      </c>
      <c r="I4" s="7">
        <v>1264</v>
      </c>
      <c r="J4" s="2" t="s">
        <v>72</v>
      </c>
      <c r="K4" s="2">
        <v>41</v>
      </c>
      <c r="L4" s="2"/>
    </row>
    <row r="5" spans="1:12" x14ac:dyDescent="0.25">
      <c r="A5" s="4">
        <v>45081</v>
      </c>
      <c r="B5" s="2" t="s">
        <v>74</v>
      </c>
      <c r="C5" s="6">
        <v>3</v>
      </c>
      <c r="D5" s="2">
        <v>77</v>
      </c>
      <c r="E5" s="2">
        <v>4</v>
      </c>
      <c r="F5" s="2">
        <v>26</v>
      </c>
      <c r="G5" s="6">
        <f t="shared" si="0"/>
        <v>266</v>
      </c>
      <c r="H5" s="3">
        <f t="shared" si="1"/>
        <v>17.368421052631579</v>
      </c>
      <c r="I5" s="3">
        <v>1675</v>
      </c>
      <c r="J5" s="2" t="s">
        <v>75</v>
      </c>
      <c r="K5" s="2">
        <v>77</v>
      </c>
      <c r="L5" s="2"/>
    </row>
    <row r="6" spans="1:12" x14ac:dyDescent="0.25">
      <c r="A6" s="4">
        <v>45082</v>
      </c>
      <c r="B6" s="2" t="s">
        <v>76</v>
      </c>
      <c r="C6" s="6">
        <v>4</v>
      </c>
      <c r="D6" s="2">
        <v>84</v>
      </c>
      <c r="E6" s="2">
        <v>4</v>
      </c>
      <c r="F6" s="2">
        <v>48</v>
      </c>
      <c r="G6" s="6">
        <f t="shared" si="0"/>
        <v>288</v>
      </c>
      <c r="H6" s="3">
        <f t="shared" si="1"/>
        <v>17.5</v>
      </c>
      <c r="I6" s="3">
        <v>1458</v>
      </c>
      <c r="J6" s="2" t="s">
        <v>77</v>
      </c>
      <c r="K6" s="2">
        <v>84</v>
      </c>
      <c r="L6" s="2"/>
    </row>
    <row r="7" spans="1:12" x14ac:dyDescent="0.25">
      <c r="A7" s="4">
        <v>45083</v>
      </c>
      <c r="B7" s="2" t="s">
        <v>78</v>
      </c>
      <c r="C7" s="6">
        <v>5</v>
      </c>
      <c r="D7" s="2">
        <v>35</v>
      </c>
      <c r="E7" s="2">
        <v>2</v>
      </c>
      <c r="F7" s="2">
        <v>28</v>
      </c>
      <c r="G7" s="6">
        <f t="shared" si="0"/>
        <v>148</v>
      </c>
      <c r="H7" s="3">
        <f t="shared" si="1"/>
        <v>14.189189189189189</v>
      </c>
      <c r="I7" s="3">
        <v>1224</v>
      </c>
      <c r="J7" s="2"/>
      <c r="K7" s="2">
        <v>35</v>
      </c>
      <c r="L7" s="2"/>
    </row>
    <row r="8" spans="1:12" s="28" customFormat="1" x14ac:dyDescent="0.25">
      <c r="A8" s="23">
        <v>45087</v>
      </c>
      <c r="B8" s="24" t="s">
        <v>79</v>
      </c>
      <c r="C8" s="25">
        <v>6</v>
      </c>
      <c r="D8" s="24">
        <v>71</v>
      </c>
      <c r="E8" s="24">
        <v>2</v>
      </c>
      <c r="F8" s="24">
        <v>40</v>
      </c>
      <c r="G8" s="25">
        <f t="shared" si="0"/>
        <v>160</v>
      </c>
      <c r="H8" s="26">
        <f t="shared" si="1"/>
        <v>26.625</v>
      </c>
      <c r="I8" s="26">
        <v>139</v>
      </c>
      <c r="J8" s="24"/>
      <c r="K8" s="24">
        <v>71</v>
      </c>
      <c r="L8" s="24"/>
    </row>
    <row r="9" spans="1:12" s="28" customFormat="1" x14ac:dyDescent="0.25">
      <c r="A9" s="23">
        <v>45089</v>
      </c>
      <c r="B9" s="24" t="s">
        <v>80</v>
      </c>
      <c r="C9" s="25">
        <v>7</v>
      </c>
      <c r="D9" s="24">
        <v>51</v>
      </c>
      <c r="E9" s="24">
        <v>2</v>
      </c>
      <c r="F9" s="24">
        <v>44</v>
      </c>
      <c r="G9" s="25">
        <f t="shared" si="0"/>
        <v>164</v>
      </c>
      <c r="H9" s="26">
        <f t="shared" si="1"/>
        <v>18.658536585365855</v>
      </c>
      <c r="I9" s="26">
        <v>752</v>
      </c>
      <c r="J9" s="24"/>
      <c r="K9" s="24">
        <v>51</v>
      </c>
      <c r="L9" s="24"/>
    </row>
    <row r="10" spans="1:12" s="28" customFormat="1" x14ac:dyDescent="0.25">
      <c r="A10" s="23">
        <v>45090</v>
      </c>
      <c r="B10" s="24" t="s">
        <v>81</v>
      </c>
      <c r="C10" s="25">
        <v>8</v>
      </c>
      <c r="D10" s="24">
        <v>100</v>
      </c>
      <c r="E10" s="24">
        <v>5</v>
      </c>
      <c r="F10" s="24"/>
      <c r="G10" s="25">
        <f t="shared" si="0"/>
        <v>300</v>
      </c>
      <c r="H10" s="26">
        <f t="shared" si="1"/>
        <v>20</v>
      </c>
      <c r="I10" s="27">
        <v>852</v>
      </c>
      <c r="J10" s="24"/>
      <c r="K10" s="24">
        <v>100</v>
      </c>
      <c r="L10" s="24"/>
    </row>
    <row r="11" spans="1:12" s="28" customFormat="1" x14ac:dyDescent="0.25">
      <c r="A11" s="23">
        <v>45091</v>
      </c>
      <c r="B11" s="24" t="s">
        <v>82</v>
      </c>
      <c r="C11" s="25">
        <v>9</v>
      </c>
      <c r="D11" s="24">
        <v>91</v>
      </c>
      <c r="E11" s="24">
        <v>4</v>
      </c>
      <c r="F11" s="24">
        <v>35</v>
      </c>
      <c r="G11" s="25">
        <f t="shared" si="0"/>
        <v>275</v>
      </c>
      <c r="H11" s="26">
        <f t="shared" si="1"/>
        <v>19.854545454545455</v>
      </c>
      <c r="I11" s="26">
        <v>1100</v>
      </c>
      <c r="J11" s="24"/>
      <c r="K11" s="24">
        <v>91</v>
      </c>
      <c r="L11" s="24"/>
    </row>
    <row r="12" spans="1:12" x14ac:dyDescent="0.25">
      <c r="A12" s="4">
        <v>45092</v>
      </c>
      <c r="B12" s="2" t="s">
        <v>83</v>
      </c>
      <c r="C12" s="6">
        <v>10</v>
      </c>
      <c r="D12" s="2">
        <v>43</v>
      </c>
      <c r="E12" s="2">
        <v>2</v>
      </c>
      <c r="F12" s="2">
        <v>12</v>
      </c>
      <c r="G12" s="6">
        <f t="shared" si="0"/>
        <v>132</v>
      </c>
      <c r="H12" s="3">
        <f t="shared" si="1"/>
        <v>19.545454545454543</v>
      </c>
      <c r="I12" s="3">
        <v>578</v>
      </c>
      <c r="J12" s="2"/>
      <c r="K12" s="2">
        <v>43</v>
      </c>
      <c r="L12" s="2"/>
    </row>
    <row r="13" spans="1:12" x14ac:dyDescent="0.25">
      <c r="A13" s="4">
        <v>45101</v>
      </c>
      <c r="B13" s="2" t="s">
        <v>84</v>
      </c>
      <c r="C13" s="6">
        <v>11</v>
      </c>
      <c r="D13" s="2">
        <v>67</v>
      </c>
      <c r="E13" s="2">
        <v>2</v>
      </c>
      <c r="F13" s="2">
        <v>56</v>
      </c>
      <c r="G13" s="6">
        <f t="shared" si="0"/>
        <v>176</v>
      </c>
      <c r="H13" s="3">
        <f t="shared" si="1"/>
        <v>22.84090909090909</v>
      </c>
      <c r="I13" s="3">
        <v>332</v>
      </c>
      <c r="J13" s="2"/>
      <c r="K13" s="2">
        <v>67</v>
      </c>
      <c r="L13" s="2"/>
    </row>
    <row r="14" spans="1:12" x14ac:dyDescent="0.25">
      <c r="A14" s="4">
        <v>45102</v>
      </c>
      <c r="B14" s="4" t="s">
        <v>85</v>
      </c>
      <c r="C14" s="6">
        <v>12</v>
      </c>
      <c r="D14" s="2">
        <v>25</v>
      </c>
      <c r="E14" s="2">
        <v>1</v>
      </c>
      <c r="F14" s="2">
        <v>20</v>
      </c>
      <c r="G14" s="6">
        <f t="shared" si="0"/>
        <v>80</v>
      </c>
      <c r="H14" s="3">
        <f t="shared" si="1"/>
        <v>18.75</v>
      </c>
      <c r="I14" s="3">
        <v>33</v>
      </c>
      <c r="J14" s="2"/>
      <c r="K14" s="2">
        <v>25</v>
      </c>
      <c r="L14" s="2"/>
    </row>
    <row r="15" spans="1:12" x14ac:dyDescent="0.25">
      <c r="A15" s="4">
        <v>45104</v>
      </c>
      <c r="B15" s="24" t="s">
        <v>86</v>
      </c>
      <c r="C15" s="25">
        <v>13</v>
      </c>
      <c r="D15" s="24">
        <v>140</v>
      </c>
      <c r="E15" s="24">
        <v>6</v>
      </c>
      <c r="F15" s="24">
        <v>10</v>
      </c>
      <c r="G15" s="25">
        <f t="shared" si="0"/>
        <v>370</v>
      </c>
      <c r="H15" s="26">
        <f t="shared" si="1"/>
        <v>22.702702702702705</v>
      </c>
      <c r="I15" s="26">
        <v>757</v>
      </c>
      <c r="J15" s="24"/>
      <c r="K15" s="2">
        <v>140</v>
      </c>
      <c r="L15" s="2"/>
    </row>
    <row r="16" spans="1:12" x14ac:dyDescent="0.25">
      <c r="A16" s="4"/>
      <c r="B16" s="24"/>
      <c r="C16" s="25">
        <v>14</v>
      </c>
      <c r="D16" s="24"/>
      <c r="E16" s="24"/>
      <c r="F16" s="24"/>
      <c r="G16" s="25">
        <f t="shared" si="0"/>
        <v>0</v>
      </c>
      <c r="H16" s="26" t="e">
        <f t="shared" si="1"/>
        <v>#DIV/0!</v>
      </c>
      <c r="I16" s="26"/>
      <c r="J16" s="24"/>
      <c r="K16" s="2"/>
      <c r="L16" s="2"/>
    </row>
    <row r="17" spans="1:14" x14ac:dyDescent="0.25">
      <c r="A17" s="4"/>
      <c r="B17" s="24"/>
      <c r="C17" s="25">
        <v>15</v>
      </c>
      <c r="D17" s="24"/>
      <c r="E17" s="24"/>
      <c r="F17" s="24"/>
      <c r="G17" s="25">
        <f t="shared" si="0"/>
        <v>0</v>
      </c>
      <c r="H17" s="26" t="e">
        <f t="shared" si="1"/>
        <v>#DIV/0!</v>
      </c>
      <c r="I17" s="26"/>
      <c r="J17" s="24"/>
      <c r="K17" s="2"/>
      <c r="L17" s="2"/>
    </row>
    <row r="18" spans="1:14" x14ac:dyDescent="0.25">
      <c r="A18" s="35"/>
      <c r="B18" s="24"/>
      <c r="C18" s="25">
        <v>16</v>
      </c>
      <c r="D18" s="24"/>
      <c r="E18" s="24"/>
      <c r="F18" s="24"/>
      <c r="G18" s="25">
        <f t="shared" si="0"/>
        <v>0</v>
      </c>
      <c r="H18" s="26" t="e">
        <f t="shared" si="1"/>
        <v>#DIV/0!</v>
      </c>
      <c r="I18" s="26"/>
      <c r="J18" s="24"/>
      <c r="K18" s="2"/>
      <c r="L18" s="2"/>
    </row>
    <row r="19" spans="1:14" x14ac:dyDescent="0.25">
      <c r="A19" s="4"/>
      <c r="B19" s="24"/>
      <c r="C19" s="25">
        <v>17</v>
      </c>
      <c r="D19" s="24"/>
      <c r="E19" s="24"/>
      <c r="F19" s="24"/>
      <c r="G19" s="25">
        <f t="shared" si="0"/>
        <v>0</v>
      </c>
      <c r="H19" s="26" t="e">
        <f t="shared" si="1"/>
        <v>#DIV/0!</v>
      </c>
      <c r="I19" s="26"/>
      <c r="J19" s="24"/>
      <c r="K19" s="2"/>
      <c r="L19" s="2"/>
    </row>
    <row r="20" spans="1:14" x14ac:dyDescent="0.25">
      <c r="A20" s="4"/>
      <c r="B20" s="24"/>
      <c r="C20" s="25">
        <v>18</v>
      </c>
      <c r="D20" s="24"/>
      <c r="E20" s="24"/>
      <c r="F20" s="24"/>
      <c r="G20" s="25">
        <f t="shared" si="0"/>
        <v>0</v>
      </c>
      <c r="H20" s="26" t="e">
        <f t="shared" si="1"/>
        <v>#DIV/0!</v>
      </c>
      <c r="I20" s="26"/>
      <c r="J20" s="24"/>
      <c r="K20" s="2"/>
      <c r="L20" s="2"/>
    </row>
    <row r="21" spans="1:14" x14ac:dyDescent="0.25">
      <c r="A21" s="4"/>
      <c r="B21" s="24"/>
      <c r="C21" s="25">
        <v>19</v>
      </c>
      <c r="D21" s="24"/>
      <c r="E21" s="24"/>
      <c r="F21" s="24"/>
      <c r="G21" s="24">
        <f t="shared" ref="G21:G23" si="2">SUM(E21*60+F21)</f>
        <v>0</v>
      </c>
      <c r="H21" s="26" t="e">
        <f t="shared" si="1"/>
        <v>#DIV/0!</v>
      </c>
      <c r="I21" s="26"/>
      <c r="J21" s="24"/>
      <c r="K21" s="2"/>
      <c r="L21" s="2"/>
    </row>
    <row r="22" spans="1:14" x14ac:dyDescent="0.25">
      <c r="A22" s="4"/>
      <c r="B22" s="24"/>
      <c r="C22" s="25">
        <v>20</v>
      </c>
      <c r="D22" s="24"/>
      <c r="E22" s="24"/>
      <c r="F22" s="24"/>
      <c r="G22" s="24">
        <f t="shared" si="2"/>
        <v>0</v>
      </c>
      <c r="H22" s="26" t="e">
        <f t="shared" si="1"/>
        <v>#DIV/0!</v>
      </c>
      <c r="I22" s="26"/>
      <c r="J22" s="24"/>
      <c r="K22" s="2"/>
      <c r="L22" s="2"/>
    </row>
    <row r="23" spans="1:14" x14ac:dyDescent="0.25">
      <c r="A23" s="4"/>
      <c r="B23" s="24"/>
      <c r="C23" s="25">
        <v>21</v>
      </c>
      <c r="D23" s="24"/>
      <c r="E23" s="24"/>
      <c r="F23" s="24"/>
      <c r="G23" s="24">
        <f t="shared" si="2"/>
        <v>0</v>
      </c>
      <c r="H23" s="26" t="e">
        <f t="shared" si="1"/>
        <v>#DIV/0!</v>
      </c>
      <c r="I23" s="26"/>
      <c r="J23" s="24"/>
      <c r="K23" s="2"/>
      <c r="L23" s="2"/>
      <c r="N23" s="1"/>
    </row>
    <row r="24" spans="1:14" x14ac:dyDescent="0.25">
      <c r="D24">
        <f>SUM(D3:D23)</f>
        <v>909</v>
      </c>
      <c r="I24" s="1">
        <f>SUM(I3:I23)</f>
        <v>12251</v>
      </c>
      <c r="K24">
        <f>SUM(K3:K23)</f>
        <v>909</v>
      </c>
      <c r="L24">
        <f>SUM(L3:L23)</f>
        <v>0</v>
      </c>
    </row>
    <row r="25" spans="1:14" x14ac:dyDescent="0.25">
      <c r="A25" t="s">
        <v>25</v>
      </c>
      <c r="B25">
        <f>SUM(Mai!B25+Juin!D24)</f>
        <v>6156</v>
      </c>
      <c r="H25" s="1">
        <f>SUM(Mai!H25+Juin!I24)</f>
        <v>39109</v>
      </c>
      <c r="K25">
        <f>SUM(Mai!K25+Juin!K24)</f>
        <v>4920</v>
      </c>
      <c r="L25">
        <f>SUM(Mai!L25+Juin!L24)</f>
        <v>1236</v>
      </c>
    </row>
    <row r="27" spans="1:14" x14ac:dyDescent="0.25">
      <c r="J27" t="s">
        <v>22</v>
      </c>
      <c r="K27">
        <v>1843</v>
      </c>
      <c r="L27">
        <v>9688</v>
      </c>
    </row>
    <row r="28" spans="1:14" x14ac:dyDescent="0.25">
      <c r="J28" t="s">
        <v>24</v>
      </c>
      <c r="K28">
        <f>SUM(Janv!K27)</f>
        <v>2920</v>
      </c>
      <c r="L28">
        <f>SUM(Janv!L27)</f>
        <v>6043</v>
      </c>
    </row>
    <row r="29" spans="1:14" x14ac:dyDescent="0.25">
      <c r="J29" t="s">
        <v>23</v>
      </c>
      <c r="K29">
        <f>SUM(K25+K27+K28)</f>
        <v>9683</v>
      </c>
      <c r="L29">
        <f>SUM(L25+L27+L28)</f>
        <v>16967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topLeftCell="A6" workbookViewId="0">
      <selection activeCell="J11" sqref="J11:J15"/>
    </sheetView>
  </sheetViews>
  <sheetFormatPr baseColWidth="10" defaultRowHeight="15" x14ac:dyDescent="0.25"/>
  <cols>
    <col min="1" max="1" width="12.710937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13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37">
        <v>45120</v>
      </c>
      <c r="B3" s="25" t="s">
        <v>87</v>
      </c>
      <c r="C3" s="6">
        <v>1</v>
      </c>
      <c r="D3" s="6">
        <v>100</v>
      </c>
      <c r="E3" s="6">
        <v>3</v>
      </c>
      <c r="F3" s="6">
        <v>55</v>
      </c>
      <c r="G3" s="6">
        <f>SUM(E3*60+F3)</f>
        <v>235</v>
      </c>
      <c r="H3" s="7">
        <f>SUM(D3/G3*60)</f>
        <v>25.531914893617021</v>
      </c>
      <c r="I3" s="7">
        <v>500</v>
      </c>
      <c r="J3" s="6"/>
      <c r="K3" s="6">
        <v>100</v>
      </c>
      <c r="L3" s="6"/>
    </row>
    <row r="4" spans="1:12" x14ac:dyDescent="0.25">
      <c r="A4" s="23">
        <v>45122</v>
      </c>
      <c r="B4" s="24" t="s">
        <v>88</v>
      </c>
      <c r="C4" s="6">
        <v>2</v>
      </c>
      <c r="D4" s="2">
        <v>84</v>
      </c>
      <c r="E4" s="2">
        <v>3</v>
      </c>
      <c r="F4" s="2">
        <v>32</v>
      </c>
      <c r="G4" s="6">
        <f t="shared" ref="G4:G23" si="0">SUM(E4*60+F4)</f>
        <v>212</v>
      </c>
      <c r="H4" s="3">
        <f t="shared" ref="H4:H7" si="1">SUM(D4/G4*60)</f>
        <v>23.773584905660378</v>
      </c>
      <c r="I4" s="7">
        <v>487</v>
      </c>
      <c r="J4" s="2"/>
      <c r="K4" s="2">
        <v>84</v>
      </c>
      <c r="L4" s="2"/>
    </row>
    <row r="5" spans="1:12" x14ac:dyDescent="0.25">
      <c r="A5" s="43">
        <v>45124</v>
      </c>
      <c r="B5" s="44" t="s">
        <v>89</v>
      </c>
      <c r="C5" s="45">
        <v>3</v>
      </c>
      <c r="D5" s="44">
        <v>44</v>
      </c>
      <c r="E5" s="44">
        <v>2</v>
      </c>
      <c r="F5" s="44">
        <v>46</v>
      </c>
      <c r="G5" s="45">
        <f t="shared" si="0"/>
        <v>166</v>
      </c>
      <c r="H5" s="46">
        <f t="shared" si="1"/>
        <v>15.903614457831326</v>
      </c>
      <c r="I5" s="46">
        <v>122</v>
      </c>
      <c r="J5" s="44" t="s">
        <v>90</v>
      </c>
      <c r="K5" s="2"/>
      <c r="L5" s="2"/>
    </row>
    <row r="6" spans="1:12" x14ac:dyDescent="0.25">
      <c r="A6" s="43">
        <v>45125</v>
      </c>
      <c r="B6" s="44" t="s">
        <v>91</v>
      </c>
      <c r="C6" s="45">
        <v>4</v>
      </c>
      <c r="D6" s="44">
        <v>49</v>
      </c>
      <c r="E6" s="44">
        <v>3</v>
      </c>
      <c r="F6" s="44">
        <v>45</v>
      </c>
      <c r="G6" s="45">
        <f t="shared" si="0"/>
        <v>225</v>
      </c>
      <c r="H6" s="46">
        <f t="shared" si="1"/>
        <v>13.066666666666666</v>
      </c>
      <c r="I6" s="46">
        <v>197</v>
      </c>
      <c r="J6" s="44" t="s">
        <v>90</v>
      </c>
      <c r="K6" s="2"/>
      <c r="L6" s="2"/>
    </row>
    <row r="7" spans="1:12" x14ac:dyDescent="0.25">
      <c r="A7" s="43">
        <v>45126</v>
      </c>
      <c r="B7" s="44" t="s">
        <v>92</v>
      </c>
      <c r="C7" s="45">
        <v>5</v>
      </c>
      <c r="D7" s="44">
        <v>60</v>
      </c>
      <c r="E7" s="44">
        <v>4</v>
      </c>
      <c r="F7" s="44">
        <v>9</v>
      </c>
      <c r="G7" s="45">
        <f t="shared" si="0"/>
        <v>249</v>
      </c>
      <c r="H7" s="46">
        <f t="shared" si="1"/>
        <v>14.457831325301205</v>
      </c>
      <c r="I7" s="46">
        <v>369</v>
      </c>
      <c r="J7" s="44" t="s">
        <v>90</v>
      </c>
      <c r="K7" s="2"/>
      <c r="L7" s="2"/>
    </row>
    <row r="8" spans="1:12" x14ac:dyDescent="0.25">
      <c r="A8" s="43">
        <v>45127</v>
      </c>
      <c r="B8" s="44" t="s">
        <v>93</v>
      </c>
      <c r="C8" s="45">
        <v>6</v>
      </c>
      <c r="D8" s="44">
        <v>66</v>
      </c>
      <c r="E8" s="44">
        <v>4</v>
      </c>
      <c r="F8" s="44">
        <v>20</v>
      </c>
      <c r="G8" s="45">
        <f t="shared" si="0"/>
        <v>260</v>
      </c>
      <c r="H8" s="46">
        <f t="shared" ref="H8:H23" si="2">SUM(D8/G8*60)</f>
        <v>15.23076923076923</v>
      </c>
      <c r="I8" s="46">
        <v>180</v>
      </c>
      <c r="J8" s="44" t="s">
        <v>90</v>
      </c>
      <c r="K8" s="2"/>
      <c r="L8" s="2"/>
    </row>
    <row r="9" spans="1:12" x14ac:dyDescent="0.25">
      <c r="A9" s="43">
        <v>45128</v>
      </c>
      <c r="B9" s="44" t="s">
        <v>94</v>
      </c>
      <c r="C9" s="45">
        <v>7</v>
      </c>
      <c r="D9" s="44">
        <v>52</v>
      </c>
      <c r="E9" s="44">
        <v>3</v>
      </c>
      <c r="F9" s="44">
        <v>39</v>
      </c>
      <c r="G9" s="45">
        <f t="shared" si="0"/>
        <v>219</v>
      </c>
      <c r="H9" s="46">
        <f t="shared" si="2"/>
        <v>14.246575342465754</v>
      </c>
      <c r="I9" s="46">
        <v>97</v>
      </c>
      <c r="J9" s="44" t="s">
        <v>90</v>
      </c>
      <c r="K9" s="2"/>
      <c r="L9" s="2"/>
    </row>
    <row r="10" spans="1:12" s="28" customFormat="1" x14ac:dyDescent="0.25">
      <c r="A10" s="23">
        <v>45129</v>
      </c>
      <c r="B10" s="24" t="s">
        <v>95</v>
      </c>
      <c r="C10" s="6">
        <v>8</v>
      </c>
      <c r="D10" s="24">
        <v>83</v>
      </c>
      <c r="E10" s="24">
        <v>3</v>
      </c>
      <c r="F10" s="24">
        <v>32</v>
      </c>
      <c r="G10" s="6">
        <f t="shared" si="0"/>
        <v>212</v>
      </c>
      <c r="H10" s="26">
        <f t="shared" si="2"/>
        <v>23.490566037735849</v>
      </c>
      <c r="I10" s="27">
        <v>486</v>
      </c>
      <c r="J10" s="24"/>
      <c r="K10" s="2">
        <v>83</v>
      </c>
      <c r="L10" s="2"/>
    </row>
    <row r="11" spans="1:12" s="28" customFormat="1" x14ac:dyDescent="0.25">
      <c r="A11" s="23">
        <v>45132</v>
      </c>
      <c r="B11" s="24" t="s">
        <v>96</v>
      </c>
      <c r="C11" s="6">
        <v>9</v>
      </c>
      <c r="D11" s="24">
        <v>161</v>
      </c>
      <c r="E11" s="24">
        <v>6</v>
      </c>
      <c r="F11" s="24">
        <v>51</v>
      </c>
      <c r="G11" s="6">
        <f t="shared" si="0"/>
        <v>411</v>
      </c>
      <c r="H11" s="26">
        <f t="shared" si="2"/>
        <v>23.503649635036499</v>
      </c>
      <c r="I11" s="26">
        <v>850</v>
      </c>
      <c r="J11" s="24" t="s">
        <v>101</v>
      </c>
      <c r="K11" s="2">
        <v>160</v>
      </c>
      <c r="L11" s="2"/>
    </row>
    <row r="12" spans="1:12" s="28" customFormat="1" x14ac:dyDescent="0.25">
      <c r="A12" s="23">
        <v>45134</v>
      </c>
      <c r="B12" s="24" t="s">
        <v>97</v>
      </c>
      <c r="C12" s="6">
        <v>10</v>
      </c>
      <c r="D12" s="24">
        <v>153</v>
      </c>
      <c r="E12" s="24">
        <v>6</v>
      </c>
      <c r="F12" s="24">
        <v>53</v>
      </c>
      <c r="G12" s="6">
        <f t="shared" si="0"/>
        <v>413</v>
      </c>
      <c r="H12" s="26">
        <f t="shared" si="2"/>
        <v>22.227602905569007</v>
      </c>
      <c r="I12" s="26">
        <v>731</v>
      </c>
      <c r="J12" s="24" t="s">
        <v>101</v>
      </c>
      <c r="K12" s="2">
        <v>153</v>
      </c>
      <c r="L12" s="2"/>
    </row>
    <row r="13" spans="1:12" s="28" customFormat="1" x14ac:dyDescent="0.25">
      <c r="A13" s="23">
        <v>45136</v>
      </c>
      <c r="B13" s="24" t="s">
        <v>98</v>
      </c>
      <c r="C13" s="6">
        <v>11</v>
      </c>
      <c r="D13" s="24">
        <v>87</v>
      </c>
      <c r="E13" s="24">
        <v>3</v>
      </c>
      <c r="F13" s="24">
        <v>45</v>
      </c>
      <c r="G13" s="6">
        <f t="shared" si="0"/>
        <v>225</v>
      </c>
      <c r="H13" s="26">
        <f t="shared" si="2"/>
        <v>23.2</v>
      </c>
      <c r="I13" s="26">
        <v>376</v>
      </c>
      <c r="J13" s="24" t="s">
        <v>101</v>
      </c>
      <c r="K13" s="2">
        <v>87</v>
      </c>
      <c r="L13" s="2"/>
    </row>
    <row r="14" spans="1:12" s="28" customFormat="1" x14ac:dyDescent="0.25">
      <c r="A14" s="23">
        <v>45137</v>
      </c>
      <c r="B14" s="24" t="s">
        <v>99</v>
      </c>
      <c r="C14" s="6">
        <v>12</v>
      </c>
      <c r="D14" s="24">
        <v>12</v>
      </c>
      <c r="E14" s="24"/>
      <c r="F14" s="24">
        <v>30</v>
      </c>
      <c r="G14" s="6">
        <f t="shared" si="0"/>
        <v>30</v>
      </c>
      <c r="H14" s="26">
        <f t="shared" si="2"/>
        <v>24</v>
      </c>
      <c r="I14" s="26">
        <v>26</v>
      </c>
      <c r="J14" s="24"/>
      <c r="K14" s="2">
        <v>12</v>
      </c>
      <c r="L14" s="2"/>
    </row>
    <row r="15" spans="1:12" s="28" customFormat="1" x14ac:dyDescent="0.25">
      <c r="A15" s="23">
        <v>45138</v>
      </c>
      <c r="B15" s="24" t="s">
        <v>100</v>
      </c>
      <c r="C15" s="6">
        <v>13</v>
      </c>
      <c r="D15" s="24">
        <v>161</v>
      </c>
      <c r="E15" s="24">
        <v>7</v>
      </c>
      <c r="F15" s="24">
        <v>9</v>
      </c>
      <c r="G15" s="6">
        <f t="shared" si="0"/>
        <v>429</v>
      </c>
      <c r="H15" s="26">
        <f t="shared" si="2"/>
        <v>22.517482517482517</v>
      </c>
      <c r="I15" s="26">
        <v>944</v>
      </c>
      <c r="J15" s="24" t="s">
        <v>101</v>
      </c>
      <c r="K15" s="2">
        <v>161</v>
      </c>
      <c r="L15" s="2"/>
    </row>
    <row r="16" spans="1:12" s="28" customFormat="1" x14ac:dyDescent="0.25">
      <c r="A16" s="23"/>
      <c r="B16" s="24"/>
      <c r="C16" s="6">
        <v>14</v>
      </c>
      <c r="D16" s="24"/>
      <c r="E16" s="24"/>
      <c r="F16" s="24"/>
      <c r="G16" s="6">
        <f t="shared" si="0"/>
        <v>0</v>
      </c>
      <c r="H16" s="26" t="e">
        <f t="shared" si="2"/>
        <v>#DIV/0!</v>
      </c>
      <c r="I16" s="26"/>
      <c r="J16" s="24"/>
      <c r="K16" s="2"/>
      <c r="L16" s="2"/>
    </row>
    <row r="17" spans="1:12" s="28" customFormat="1" x14ac:dyDescent="0.25">
      <c r="A17" s="23"/>
      <c r="B17" s="24"/>
      <c r="C17" s="6">
        <v>15</v>
      </c>
      <c r="D17" s="24"/>
      <c r="E17" s="24"/>
      <c r="F17" s="24"/>
      <c r="G17" s="6">
        <f t="shared" si="0"/>
        <v>0</v>
      </c>
      <c r="H17" s="26" t="e">
        <f t="shared" si="2"/>
        <v>#DIV/0!</v>
      </c>
      <c r="I17" s="26"/>
      <c r="J17" s="24"/>
      <c r="K17" s="2"/>
      <c r="L17" s="2"/>
    </row>
    <row r="18" spans="1:12" x14ac:dyDescent="0.25">
      <c r="A18" s="23"/>
      <c r="B18" s="24"/>
      <c r="C18" s="6">
        <v>16</v>
      </c>
      <c r="D18" s="24"/>
      <c r="E18" s="24"/>
      <c r="F18" s="24"/>
      <c r="G18" s="6">
        <f t="shared" si="0"/>
        <v>0</v>
      </c>
      <c r="H18" s="26" t="e">
        <f t="shared" si="2"/>
        <v>#DIV/0!</v>
      </c>
      <c r="I18" s="26"/>
      <c r="J18" s="24"/>
      <c r="K18" s="2"/>
      <c r="L18" s="2"/>
    </row>
    <row r="19" spans="1:12" x14ac:dyDescent="0.25">
      <c r="A19" s="23"/>
      <c r="B19" s="24"/>
      <c r="C19" s="6">
        <v>17</v>
      </c>
      <c r="D19" s="24"/>
      <c r="E19" s="24"/>
      <c r="F19" s="24"/>
      <c r="G19" s="6">
        <f t="shared" si="0"/>
        <v>0</v>
      </c>
      <c r="H19" s="26" t="e">
        <f t="shared" si="2"/>
        <v>#DIV/0!</v>
      </c>
      <c r="I19" s="26"/>
      <c r="J19" s="24"/>
      <c r="K19" s="2"/>
      <c r="L19" s="2"/>
    </row>
    <row r="20" spans="1:12" x14ac:dyDescent="0.25">
      <c r="A20" s="23"/>
      <c r="B20" s="24"/>
      <c r="C20" s="6">
        <v>18</v>
      </c>
      <c r="D20" s="2"/>
      <c r="E20" s="2"/>
      <c r="F20" s="2"/>
      <c r="G20" s="6">
        <f t="shared" si="0"/>
        <v>0</v>
      </c>
      <c r="H20" s="3" t="e">
        <f t="shared" si="2"/>
        <v>#DIV/0!</v>
      </c>
      <c r="I20" s="3"/>
      <c r="J20" s="24"/>
      <c r="K20" s="2"/>
      <c r="L20" s="2"/>
    </row>
    <row r="21" spans="1:12" x14ac:dyDescent="0.25">
      <c r="A21" s="23"/>
      <c r="B21" s="24"/>
      <c r="C21" s="6">
        <v>19</v>
      </c>
      <c r="D21" s="2"/>
      <c r="E21" s="2"/>
      <c r="F21" s="2"/>
      <c r="G21" s="6">
        <f t="shared" si="0"/>
        <v>0</v>
      </c>
      <c r="H21" s="3" t="e">
        <f t="shared" si="2"/>
        <v>#DIV/0!</v>
      </c>
      <c r="I21" s="3"/>
      <c r="J21" s="24"/>
      <c r="K21" s="2"/>
      <c r="L21" s="2"/>
    </row>
    <row r="22" spans="1:12" x14ac:dyDescent="0.25">
      <c r="A22" s="4"/>
      <c r="B22" s="24"/>
      <c r="C22" s="6">
        <v>20</v>
      </c>
      <c r="D22" s="2"/>
      <c r="E22" s="2"/>
      <c r="F22" s="2"/>
      <c r="G22" s="6">
        <f t="shared" si="0"/>
        <v>0</v>
      </c>
      <c r="H22" s="3" t="e">
        <f t="shared" si="2"/>
        <v>#DIV/0!</v>
      </c>
      <c r="I22" s="3"/>
      <c r="J22" s="24"/>
      <c r="K22" s="2"/>
      <c r="L22" s="2"/>
    </row>
    <row r="23" spans="1:12" x14ac:dyDescent="0.25">
      <c r="A23" s="4"/>
      <c r="B23" s="2"/>
      <c r="C23" s="6">
        <v>21</v>
      </c>
      <c r="D23" s="2"/>
      <c r="E23" s="2"/>
      <c r="F23" s="2"/>
      <c r="G23" s="6">
        <f t="shared" si="0"/>
        <v>0</v>
      </c>
      <c r="H23" s="3" t="e">
        <f t="shared" si="2"/>
        <v>#DIV/0!</v>
      </c>
      <c r="I23" s="3"/>
      <c r="J23" s="24"/>
      <c r="K23" s="2"/>
      <c r="L23" s="2"/>
    </row>
    <row r="24" spans="1:12" x14ac:dyDescent="0.25">
      <c r="D24">
        <f>SUM(D3:D23)</f>
        <v>1112</v>
      </c>
      <c r="I24" s="1">
        <f>SUM(I3:I23)</f>
        <v>5365</v>
      </c>
      <c r="K24" s="1">
        <f>SUM(K3:K23)</f>
        <v>840</v>
      </c>
      <c r="L24" s="1">
        <f>SUM(L3:L23)</f>
        <v>0</v>
      </c>
    </row>
    <row r="25" spans="1:12" x14ac:dyDescent="0.25">
      <c r="A25" t="s">
        <v>25</v>
      </c>
      <c r="B25">
        <f>SUM(Juin!B25+Juil!D24)</f>
        <v>7268</v>
      </c>
      <c r="H25" s="1">
        <f>SUM(Juin!H25+Juil!I24)</f>
        <v>44474</v>
      </c>
      <c r="K25" s="1">
        <f>SUM(Juin!K25+Juil!K24)</f>
        <v>5760</v>
      </c>
      <c r="L25" s="1">
        <f>SUM(Juin!L25+Juil!L24)</f>
        <v>1236</v>
      </c>
    </row>
    <row r="26" spans="1:12" x14ac:dyDescent="0.25">
      <c r="B26" s="2"/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B29" s="36"/>
      <c r="J29" t="s">
        <v>23</v>
      </c>
      <c r="K29">
        <f>SUM(K25+K27+K28)</f>
        <v>10523</v>
      </c>
      <c r="L29">
        <f>SUM(L25+L27+L28)</f>
        <v>16967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zoomScaleNormal="100" workbookViewId="0">
      <selection activeCell="A6" sqref="A6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14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45143</v>
      </c>
      <c r="B3" s="24" t="s">
        <v>102</v>
      </c>
      <c r="C3" s="6">
        <v>1</v>
      </c>
      <c r="D3" s="6">
        <v>55</v>
      </c>
      <c r="E3" s="6">
        <v>2</v>
      </c>
      <c r="F3" s="6">
        <v>24</v>
      </c>
      <c r="G3" s="2">
        <f t="shared" ref="G3:G22" si="0">SUM(E3*60+F3)</f>
        <v>144</v>
      </c>
      <c r="H3" s="7">
        <f>SUM(D3/G3*60)</f>
        <v>22.916666666666664</v>
      </c>
      <c r="I3" s="7">
        <v>331</v>
      </c>
      <c r="J3" s="24"/>
      <c r="K3" s="6">
        <v>55</v>
      </c>
      <c r="L3" s="6"/>
    </row>
    <row r="4" spans="1:12" x14ac:dyDescent="0.25">
      <c r="A4" s="4">
        <v>45145</v>
      </c>
      <c r="B4" s="24" t="s">
        <v>103</v>
      </c>
      <c r="C4" s="6">
        <v>2</v>
      </c>
      <c r="D4" s="2">
        <v>141</v>
      </c>
      <c r="E4" s="2">
        <v>5</v>
      </c>
      <c r="F4" s="2">
        <v>44</v>
      </c>
      <c r="G4" s="2">
        <f t="shared" si="0"/>
        <v>344</v>
      </c>
      <c r="H4" s="3">
        <f t="shared" ref="H4:H23" si="1">SUM(D4/G4*60)</f>
        <v>24.593023255813954</v>
      </c>
      <c r="I4" s="7">
        <v>759</v>
      </c>
      <c r="J4" s="24"/>
      <c r="K4" s="2">
        <v>141</v>
      </c>
      <c r="L4" s="2"/>
    </row>
    <row r="5" spans="1:12" x14ac:dyDescent="0.25">
      <c r="A5" s="4">
        <v>45148</v>
      </c>
      <c r="B5" s="24" t="s">
        <v>104</v>
      </c>
      <c r="C5" s="6">
        <v>3</v>
      </c>
      <c r="D5" s="2">
        <v>206</v>
      </c>
      <c r="E5" s="2">
        <v>8</v>
      </c>
      <c r="F5" s="2">
        <v>30</v>
      </c>
      <c r="G5" s="2">
        <f t="shared" si="0"/>
        <v>510</v>
      </c>
      <c r="H5" s="3">
        <f t="shared" si="1"/>
        <v>24.235294117647058</v>
      </c>
      <c r="I5" s="3">
        <v>1064</v>
      </c>
      <c r="J5" s="24"/>
      <c r="K5" s="2">
        <v>206</v>
      </c>
      <c r="L5" s="2"/>
    </row>
    <row r="6" spans="1:12" x14ac:dyDescent="0.25">
      <c r="A6" s="47">
        <v>45158</v>
      </c>
      <c r="B6" s="48" t="s">
        <v>105</v>
      </c>
      <c r="C6" s="49">
        <v>4</v>
      </c>
      <c r="D6" s="48">
        <v>291</v>
      </c>
      <c r="E6" s="48">
        <v>13</v>
      </c>
      <c r="F6" s="48">
        <v>30</v>
      </c>
      <c r="G6" s="48">
        <f t="shared" si="0"/>
        <v>810</v>
      </c>
      <c r="H6" s="50">
        <f t="shared" si="1"/>
        <v>21.555555555555557</v>
      </c>
      <c r="I6" s="50">
        <v>2573</v>
      </c>
      <c r="J6" s="48" t="s">
        <v>107</v>
      </c>
      <c r="K6" s="48">
        <v>291</v>
      </c>
      <c r="L6" s="2"/>
    </row>
    <row r="7" spans="1:12" x14ac:dyDescent="0.25">
      <c r="A7" s="47">
        <v>45159</v>
      </c>
      <c r="B7" s="48" t="s">
        <v>106</v>
      </c>
      <c r="C7" s="49">
        <v>5</v>
      </c>
      <c r="D7" s="48">
        <v>143</v>
      </c>
      <c r="E7" s="48">
        <v>6</v>
      </c>
      <c r="F7" s="48">
        <v>9</v>
      </c>
      <c r="G7" s="48">
        <f t="shared" si="0"/>
        <v>369</v>
      </c>
      <c r="H7" s="50">
        <f t="shared" si="1"/>
        <v>23.252032520325201</v>
      </c>
      <c r="I7" s="50">
        <v>1309</v>
      </c>
      <c r="J7" s="48" t="s">
        <v>107</v>
      </c>
      <c r="K7" s="48">
        <v>143</v>
      </c>
      <c r="L7" s="2"/>
    </row>
    <row r="8" spans="1:12" x14ac:dyDescent="0.25">
      <c r="A8" s="47">
        <v>45159</v>
      </c>
      <c r="B8" s="48" t="s">
        <v>108</v>
      </c>
      <c r="C8" s="49">
        <v>6</v>
      </c>
      <c r="D8" s="48">
        <v>80</v>
      </c>
      <c r="E8" s="48">
        <v>3</v>
      </c>
      <c r="F8" s="48">
        <v>47</v>
      </c>
      <c r="G8" s="48">
        <f t="shared" si="0"/>
        <v>227</v>
      </c>
      <c r="H8" s="50">
        <f t="shared" si="1"/>
        <v>21.145374449339208</v>
      </c>
      <c r="I8" s="50">
        <v>860</v>
      </c>
      <c r="J8" s="48" t="s">
        <v>107</v>
      </c>
      <c r="K8" s="48">
        <v>80</v>
      </c>
      <c r="L8" s="2"/>
    </row>
    <row r="9" spans="1:12" x14ac:dyDescent="0.25">
      <c r="A9" s="47">
        <v>45160</v>
      </c>
      <c r="B9" s="48" t="s">
        <v>109</v>
      </c>
      <c r="C9" s="49">
        <v>7</v>
      </c>
      <c r="D9" s="48">
        <v>353</v>
      </c>
      <c r="E9" s="48">
        <v>16</v>
      </c>
      <c r="F9" s="48">
        <v>20</v>
      </c>
      <c r="G9" s="48">
        <f t="shared" si="0"/>
        <v>980</v>
      </c>
      <c r="H9" s="50">
        <f t="shared" si="1"/>
        <v>21.612244897959183</v>
      </c>
      <c r="I9" s="50">
        <v>3999</v>
      </c>
      <c r="J9" s="48" t="s">
        <v>107</v>
      </c>
      <c r="K9" s="48">
        <v>353</v>
      </c>
      <c r="L9" s="2"/>
    </row>
    <row r="10" spans="1:12" s="22" customFormat="1" x14ac:dyDescent="0.25">
      <c r="A10" s="51">
        <v>45161</v>
      </c>
      <c r="B10" s="52" t="s">
        <v>111</v>
      </c>
      <c r="C10" s="53">
        <v>8</v>
      </c>
      <c r="D10" s="52">
        <v>232</v>
      </c>
      <c r="E10" s="52">
        <v>13</v>
      </c>
      <c r="F10" s="52">
        <v>20</v>
      </c>
      <c r="G10" s="52">
        <f t="shared" si="0"/>
        <v>800</v>
      </c>
      <c r="H10" s="54">
        <f t="shared" si="1"/>
        <v>17.399999999999999</v>
      </c>
      <c r="I10" s="55">
        <v>1671</v>
      </c>
      <c r="J10" s="48" t="s">
        <v>107</v>
      </c>
      <c r="K10" s="48">
        <v>232</v>
      </c>
      <c r="L10" s="2"/>
    </row>
    <row r="11" spans="1:12" s="22" customFormat="1" x14ac:dyDescent="0.25">
      <c r="A11" s="51">
        <v>45161</v>
      </c>
      <c r="B11" s="52" t="s">
        <v>110</v>
      </c>
      <c r="C11" s="53">
        <v>9</v>
      </c>
      <c r="D11" s="52">
        <v>120</v>
      </c>
      <c r="E11" s="52">
        <v>6</v>
      </c>
      <c r="F11" s="52">
        <v>40</v>
      </c>
      <c r="G11" s="52">
        <f t="shared" si="0"/>
        <v>400</v>
      </c>
      <c r="H11" s="54">
        <f t="shared" si="1"/>
        <v>18</v>
      </c>
      <c r="I11" s="54">
        <v>993</v>
      </c>
      <c r="J11" s="48" t="s">
        <v>107</v>
      </c>
      <c r="K11" s="48">
        <v>120</v>
      </c>
      <c r="L11" s="2"/>
    </row>
    <row r="12" spans="1:12" x14ac:dyDescent="0.25">
      <c r="A12" s="4">
        <v>45169</v>
      </c>
      <c r="B12" s="2" t="s">
        <v>112</v>
      </c>
      <c r="C12" s="6">
        <v>10</v>
      </c>
      <c r="D12" s="2">
        <v>80</v>
      </c>
      <c r="E12" s="2">
        <v>3</v>
      </c>
      <c r="F12" s="2">
        <v>30</v>
      </c>
      <c r="G12" s="2">
        <f t="shared" ref="G12" si="2">SUM(E12*60+F12)</f>
        <v>210</v>
      </c>
      <c r="H12" s="3">
        <f t="shared" ref="H12" si="3">SUM(D12/G12*60)</f>
        <v>22.857142857142854</v>
      </c>
      <c r="I12" s="3">
        <v>326</v>
      </c>
      <c r="J12" s="6"/>
      <c r="K12" s="2"/>
      <c r="L12" s="2">
        <v>80</v>
      </c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6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3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3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3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3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3" x14ac:dyDescent="0.25">
      <c r="A21" s="4"/>
      <c r="B21" s="17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3" x14ac:dyDescent="0.25">
      <c r="A22" s="4"/>
      <c r="B22" s="20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3" x14ac:dyDescent="0.25">
      <c r="A23" s="4"/>
      <c r="B23" s="2"/>
      <c r="C23" s="2">
        <v>21</v>
      </c>
      <c r="D23" s="2"/>
      <c r="E23" s="2"/>
      <c r="F23" s="2"/>
      <c r="G23" s="2">
        <f t="shared" ref="G23" si="4">SUM(E23*60+F23)</f>
        <v>0</v>
      </c>
      <c r="H23" s="3" t="e">
        <f t="shared" si="1"/>
        <v>#DIV/0!</v>
      </c>
      <c r="I23" s="3"/>
      <c r="J23" s="2"/>
      <c r="K23" s="2"/>
      <c r="L23" s="2"/>
    </row>
    <row r="24" spans="1:13" x14ac:dyDescent="0.25">
      <c r="A24" s="18"/>
      <c r="I24" s="1">
        <f>SUM(I3:I23)</f>
        <v>13885</v>
      </c>
      <c r="K24" s="1">
        <f>SUM(K1:K23)</f>
        <v>1621</v>
      </c>
      <c r="L24" s="1">
        <f>SUM(L1:L23)</f>
        <v>80</v>
      </c>
    </row>
    <row r="25" spans="1:13" x14ac:dyDescent="0.25">
      <c r="D25">
        <f>SUM(D3:D24)</f>
        <v>1701</v>
      </c>
      <c r="H25" s="1">
        <f>SUM(Juil!H25+Aout!I24)</f>
        <v>58359</v>
      </c>
      <c r="K25" s="1">
        <f>SUM(Juil!K25+Aout!K24)</f>
        <v>7381</v>
      </c>
      <c r="L25" s="1">
        <f>SUM(Juil!L25+Aout!L24)</f>
        <v>1316</v>
      </c>
    </row>
    <row r="26" spans="1:13" x14ac:dyDescent="0.25">
      <c r="A26" t="s">
        <v>25</v>
      </c>
      <c r="B26">
        <f>SUM(Juil!B25+Aout!D25)</f>
        <v>8969</v>
      </c>
    </row>
    <row r="27" spans="1:13" x14ac:dyDescent="0.25">
      <c r="J27" t="s">
        <v>22</v>
      </c>
      <c r="K27">
        <v>1843</v>
      </c>
      <c r="L27">
        <v>9688</v>
      </c>
      <c r="M27" s="36"/>
    </row>
    <row r="28" spans="1:13" x14ac:dyDescent="0.25">
      <c r="J28" t="s">
        <v>24</v>
      </c>
      <c r="K28">
        <f>SUM(Janv!K27)</f>
        <v>2920</v>
      </c>
      <c r="L28">
        <f>SUM(Janv!L27)</f>
        <v>6043</v>
      </c>
    </row>
    <row r="29" spans="1:13" x14ac:dyDescent="0.25">
      <c r="J29" t="s">
        <v>23</v>
      </c>
      <c r="K29">
        <f>SUM(K25+K27+K28)</f>
        <v>12144</v>
      </c>
      <c r="L29">
        <f>SUM(L25+L27+L28)</f>
        <v>17047</v>
      </c>
    </row>
    <row r="36" spans="4:4" x14ac:dyDescent="0.25">
      <c r="D36" s="1"/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C134-A039-432A-9DB8-25AF20D220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workbookViewId="0">
      <selection activeCell="A12" sqref="A12"/>
    </sheetView>
  </sheetViews>
  <sheetFormatPr baseColWidth="10" defaultRowHeight="15" x14ac:dyDescent="0.25"/>
  <cols>
    <col min="1" max="1" width="12.5703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42578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15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12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45174</v>
      </c>
      <c r="B3" s="2" t="s">
        <v>113</v>
      </c>
      <c r="C3" s="6">
        <v>1</v>
      </c>
      <c r="D3" s="6">
        <v>25</v>
      </c>
      <c r="E3" s="6">
        <v>1</v>
      </c>
      <c r="F3" s="6">
        <v>38</v>
      </c>
      <c r="G3" s="6">
        <f>SUM(E3*60+F3)</f>
        <v>98</v>
      </c>
      <c r="H3" s="7">
        <f>SUM(D3/G3*60)</f>
        <v>15.306122448979592</v>
      </c>
      <c r="I3" s="7">
        <v>86</v>
      </c>
      <c r="J3" s="2"/>
      <c r="K3" s="6">
        <v>25</v>
      </c>
      <c r="L3" s="6"/>
    </row>
    <row r="4" spans="1:12" x14ac:dyDescent="0.25">
      <c r="A4" s="4">
        <v>45176</v>
      </c>
      <c r="B4" s="2" t="s">
        <v>113</v>
      </c>
      <c r="C4" s="6">
        <v>2</v>
      </c>
      <c r="D4" s="2">
        <v>56</v>
      </c>
      <c r="E4" s="2">
        <v>3</v>
      </c>
      <c r="F4" s="2">
        <v>15</v>
      </c>
      <c r="G4" s="2">
        <f t="shared" ref="G4:G23" si="0">SUM(E4*60+F4)</f>
        <v>195</v>
      </c>
      <c r="H4" s="3">
        <f t="shared" ref="H4:H23" si="1">SUM(D4/G4*60)</f>
        <v>17.23076923076923</v>
      </c>
      <c r="I4" s="7">
        <v>87</v>
      </c>
      <c r="J4" s="2"/>
      <c r="K4" s="2">
        <v>56</v>
      </c>
      <c r="L4" s="2"/>
    </row>
    <row r="5" spans="1:12" x14ac:dyDescent="0.25">
      <c r="A5" s="4">
        <v>45179</v>
      </c>
      <c r="B5" s="2" t="s">
        <v>113</v>
      </c>
      <c r="C5" s="6">
        <v>3</v>
      </c>
      <c r="D5" s="2">
        <v>10</v>
      </c>
      <c r="E5" s="2"/>
      <c r="F5" s="2">
        <v>34</v>
      </c>
      <c r="G5" s="2">
        <f t="shared" si="0"/>
        <v>34</v>
      </c>
      <c r="H5" s="3">
        <f t="shared" si="1"/>
        <v>17.647058823529413</v>
      </c>
      <c r="I5" s="3">
        <v>50</v>
      </c>
      <c r="J5" s="2"/>
      <c r="K5" s="2">
        <v>10</v>
      </c>
      <c r="L5" s="2"/>
    </row>
    <row r="6" spans="1:12" x14ac:dyDescent="0.25">
      <c r="A6" s="4">
        <v>45182</v>
      </c>
      <c r="B6" s="2" t="s">
        <v>114</v>
      </c>
      <c r="C6" s="6">
        <v>2</v>
      </c>
      <c r="D6" s="2">
        <v>32</v>
      </c>
      <c r="E6" s="2">
        <v>2</v>
      </c>
      <c r="F6" s="2">
        <v>4</v>
      </c>
      <c r="G6" s="2">
        <f t="shared" ref="G6" si="2">SUM(E6*60+F6)</f>
        <v>124</v>
      </c>
      <c r="H6" s="3">
        <f t="shared" ref="H6" si="3">SUM(D6/G6*60)</f>
        <v>15.483870967741936</v>
      </c>
      <c r="I6" s="3">
        <v>120</v>
      </c>
      <c r="J6" s="2"/>
      <c r="K6" s="2">
        <v>32</v>
      </c>
      <c r="L6" s="2"/>
    </row>
    <row r="7" spans="1:12" x14ac:dyDescent="0.25">
      <c r="A7" s="4">
        <v>45183</v>
      </c>
      <c r="B7" s="2" t="s">
        <v>115</v>
      </c>
      <c r="C7" s="6">
        <v>5</v>
      </c>
      <c r="D7" s="2">
        <v>34</v>
      </c>
      <c r="E7" s="2">
        <v>2</v>
      </c>
      <c r="F7" s="2">
        <v>40</v>
      </c>
      <c r="G7" s="2">
        <f t="shared" si="0"/>
        <v>160</v>
      </c>
      <c r="H7" s="3">
        <f t="shared" si="1"/>
        <v>12.75</v>
      </c>
      <c r="I7" s="3">
        <v>443</v>
      </c>
      <c r="J7" s="2"/>
      <c r="K7" s="2">
        <v>34</v>
      </c>
      <c r="L7" s="2"/>
    </row>
    <row r="8" spans="1:12" x14ac:dyDescent="0.25">
      <c r="A8" s="4">
        <v>45188</v>
      </c>
      <c r="B8" s="2" t="s">
        <v>116</v>
      </c>
      <c r="C8" s="6">
        <v>6</v>
      </c>
      <c r="D8" s="2">
        <v>90</v>
      </c>
      <c r="E8" s="2">
        <v>3</v>
      </c>
      <c r="F8" s="2">
        <v>56</v>
      </c>
      <c r="G8" s="2">
        <f t="shared" si="0"/>
        <v>236</v>
      </c>
      <c r="H8" s="3">
        <f t="shared" si="1"/>
        <v>22.881355932203387</v>
      </c>
      <c r="I8" s="3">
        <v>443</v>
      </c>
      <c r="J8" s="2"/>
      <c r="K8" s="2"/>
      <c r="L8" s="2">
        <v>90</v>
      </c>
    </row>
    <row r="9" spans="1:12" x14ac:dyDescent="0.25">
      <c r="A9" s="4">
        <v>45192</v>
      </c>
      <c r="B9" s="2" t="s">
        <v>117</v>
      </c>
      <c r="C9" s="6">
        <v>7</v>
      </c>
      <c r="D9" s="2">
        <v>81</v>
      </c>
      <c r="E9" s="2">
        <v>3</v>
      </c>
      <c r="F9" s="2">
        <v>28</v>
      </c>
      <c r="G9" s="2">
        <f t="shared" si="0"/>
        <v>208</v>
      </c>
      <c r="H9" s="3">
        <f t="shared" si="1"/>
        <v>23.365384615384617</v>
      </c>
      <c r="I9" s="3">
        <v>490</v>
      </c>
      <c r="J9" s="2"/>
      <c r="K9" s="2"/>
      <c r="L9" s="2">
        <v>81</v>
      </c>
    </row>
    <row r="10" spans="1:12" x14ac:dyDescent="0.25">
      <c r="A10" s="4">
        <v>45195</v>
      </c>
      <c r="B10" s="2" t="s">
        <v>118</v>
      </c>
      <c r="C10" s="6">
        <v>8</v>
      </c>
      <c r="D10" s="2">
        <v>98</v>
      </c>
      <c r="E10" s="2">
        <v>4</v>
      </c>
      <c r="F10" s="2">
        <v>2</v>
      </c>
      <c r="G10" s="2">
        <f t="shared" si="0"/>
        <v>242</v>
      </c>
      <c r="H10" s="3">
        <f t="shared" si="1"/>
        <v>24.297520661157023</v>
      </c>
      <c r="I10" s="7">
        <v>542</v>
      </c>
      <c r="J10" s="2"/>
      <c r="K10" s="2"/>
      <c r="L10" s="2">
        <v>98</v>
      </c>
    </row>
    <row r="11" spans="1:12" x14ac:dyDescent="0.25">
      <c r="A11" s="4">
        <v>45197</v>
      </c>
      <c r="B11" s="2" t="s">
        <v>119</v>
      </c>
      <c r="C11" s="6">
        <v>9</v>
      </c>
      <c r="D11" s="2">
        <v>92</v>
      </c>
      <c r="E11" s="2">
        <v>3</v>
      </c>
      <c r="F11" s="2">
        <v>48</v>
      </c>
      <c r="G11" s="2">
        <f t="shared" si="0"/>
        <v>228</v>
      </c>
      <c r="H11" s="3">
        <f t="shared" si="1"/>
        <v>24.210526315789473</v>
      </c>
      <c r="I11" s="3">
        <v>527</v>
      </c>
      <c r="J11" s="2"/>
      <c r="K11" s="2"/>
      <c r="L11" s="2">
        <v>92</v>
      </c>
    </row>
    <row r="12" spans="1:12" x14ac:dyDescent="0.25">
      <c r="A12" s="4">
        <v>45199</v>
      </c>
      <c r="B12" s="2" t="s">
        <v>120</v>
      </c>
      <c r="C12" s="6">
        <v>10</v>
      </c>
      <c r="D12" s="2">
        <v>73</v>
      </c>
      <c r="E12" s="2">
        <v>3</v>
      </c>
      <c r="F12" s="2">
        <v>15</v>
      </c>
      <c r="G12" s="2">
        <f t="shared" si="0"/>
        <v>195</v>
      </c>
      <c r="H12" s="3">
        <f t="shared" si="1"/>
        <v>22.46153846153846</v>
      </c>
      <c r="I12" s="3">
        <v>465</v>
      </c>
      <c r="J12" s="2"/>
      <c r="K12" s="2"/>
      <c r="L12" s="2">
        <v>73</v>
      </c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591</v>
      </c>
      <c r="I24" s="1">
        <f>SUM(I3:I23)</f>
        <v>3253</v>
      </c>
      <c r="K24" s="1">
        <f>SUM(K1:K23)</f>
        <v>157</v>
      </c>
      <c r="L24" s="1">
        <f>SUM(L1:L23)</f>
        <v>434</v>
      </c>
    </row>
    <row r="25" spans="1:12" x14ac:dyDescent="0.25">
      <c r="A25" t="s">
        <v>25</v>
      </c>
      <c r="B25">
        <f>SUM(Aout!B26+Sept!D24)</f>
        <v>9560</v>
      </c>
      <c r="H25" s="1">
        <f>SUM(Aout!H25+Sept!I24)</f>
        <v>61612</v>
      </c>
      <c r="K25" s="1">
        <f>SUM(Aout!K25+Sept!K24)</f>
        <v>7538</v>
      </c>
      <c r="L25" s="1">
        <f>SUM(Aout!L25+Sept!L24)</f>
        <v>1750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12301</v>
      </c>
      <c r="L29">
        <f>SUM(L25+L27+L28)</f>
        <v>17481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"/>
  <sheetViews>
    <sheetView topLeftCell="B1" workbookViewId="0">
      <selection activeCell="K36" sqref="K36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16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45200</v>
      </c>
      <c r="B3" s="6" t="s">
        <v>121</v>
      </c>
      <c r="C3" s="6">
        <v>1</v>
      </c>
      <c r="D3" s="6">
        <v>35</v>
      </c>
      <c r="E3" s="6">
        <v>2</v>
      </c>
      <c r="F3" s="6">
        <v>9</v>
      </c>
      <c r="G3" s="6">
        <f>SUM(E3*60+F3)</f>
        <v>129</v>
      </c>
      <c r="H3" s="7">
        <f>SUM(D3/G3*60)</f>
        <v>16.279069767441861</v>
      </c>
      <c r="I3" s="7">
        <v>142</v>
      </c>
      <c r="J3" s="6"/>
      <c r="K3" s="6"/>
      <c r="L3" s="6"/>
    </row>
    <row r="4" spans="1:12" x14ac:dyDescent="0.25">
      <c r="A4" s="4">
        <v>45209</v>
      </c>
      <c r="B4" s="2" t="s">
        <v>122</v>
      </c>
      <c r="C4" s="6">
        <v>2</v>
      </c>
      <c r="D4" s="2">
        <v>89</v>
      </c>
      <c r="E4" s="2">
        <v>3</v>
      </c>
      <c r="F4" s="2">
        <v>47</v>
      </c>
      <c r="G4" s="2">
        <f t="shared" ref="G4:G23" si="0">SUM(E4*60+F4)</f>
        <v>227</v>
      </c>
      <c r="H4" s="3">
        <f t="shared" ref="H4:H23" si="1">SUM(D4/G4*60)</f>
        <v>23.524229074889867</v>
      </c>
      <c r="I4" s="7">
        <v>307</v>
      </c>
      <c r="J4" s="2"/>
      <c r="K4" s="2"/>
      <c r="L4" s="2">
        <v>89</v>
      </c>
    </row>
    <row r="5" spans="1:12" x14ac:dyDescent="0.25">
      <c r="A5" s="4">
        <v>45211</v>
      </c>
      <c r="B5" s="2" t="s">
        <v>123</v>
      </c>
      <c r="C5" s="6">
        <v>3</v>
      </c>
      <c r="D5" s="2">
        <v>105</v>
      </c>
      <c r="E5" s="2">
        <v>4</v>
      </c>
      <c r="F5" s="2">
        <v>13</v>
      </c>
      <c r="G5" s="2">
        <f t="shared" si="0"/>
        <v>253</v>
      </c>
      <c r="H5" s="3">
        <f t="shared" si="1"/>
        <v>24.901185770750988</v>
      </c>
      <c r="I5" s="3">
        <v>537</v>
      </c>
      <c r="J5" s="2"/>
      <c r="K5" s="2"/>
      <c r="L5" s="2">
        <v>105</v>
      </c>
    </row>
    <row r="6" spans="1:12" x14ac:dyDescent="0.25">
      <c r="A6" s="4">
        <v>45213</v>
      </c>
      <c r="B6" s="2" t="s">
        <v>124</v>
      </c>
      <c r="C6" s="6">
        <v>4</v>
      </c>
      <c r="D6" s="2">
        <v>75</v>
      </c>
      <c r="E6" s="2">
        <v>3</v>
      </c>
      <c r="F6" s="2">
        <v>3</v>
      </c>
      <c r="G6" s="2">
        <f t="shared" si="0"/>
        <v>183</v>
      </c>
      <c r="H6" s="3">
        <f t="shared" si="1"/>
        <v>24.590163934426229</v>
      </c>
      <c r="I6" s="3">
        <v>367</v>
      </c>
      <c r="J6" s="2"/>
      <c r="K6" s="2"/>
      <c r="L6" s="2">
        <v>75</v>
      </c>
    </row>
    <row r="7" spans="1:12" x14ac:dyDescent="0.25">
      <c r="A7" s="4">
        <v>45216</v>
      </c>
      <c r="B7" s="2" t="s">
        <v>125</v>
      </c>
      <c r="C7" s="6">
        <v>5</v>
      </c>
      <c r="D7" s="2">
        <v>102</v>
      </c>
      <c r="E7" s="2">
        <v>3</v>
      </c>
      <c r="F7" s="2">
        <v>47</v>
      </c>
      <c r="G7" s="2">
        <f t="shared" si="0"/>
        <v>227</v>
      </c>
      <c r="H7" s="3">
        <f t="shared" si="1"/>
        <v>26.960352422907487</v>
      </c>
      <c r="I7" s="3">
        <v>490</v>
      </c>
      <c r="J7" s="2"/>
      <c r="K7" s="2"/>
      <c r="L7" s="2">
        <v>102</v>
      </c>
    </row>
    <row r="8" spans="1:12" x14ac:dyDescent="0.25">
      <c r="A8" s="4">
        <v>45218</v>
      </c>
      <c r="B8" s="2" t="s">
        <v>126</v>
      </c>
      <c r="C8" s="6">
        <v>6</v>
      </c>
      <c r="D8" s="2">
        <v>87</v>
      </c>
      <c r="E8" s="2">
        <v>3</v>
      </c>
      <c r="F8" s="2">
        <v>42</v>
      </c>
      <c r="G8" s="2">
        <f t="shared" si="0"/>
        <v>222</v>
      </c>
      <c r="H8" s="3">
        <f t="shared" si="1"/>
        <v>23.513513513513512</v>
      </c>
      <c r="I8" s="3">
        <v>524</v>
      </c>
      <c r="J8" s="2"/>
      <c r="K8" s="2"/>
      <c r="L8" s="2">
        <v>87</v>
      </c>
    </row>
    <row r="9" spans="1:12" x14ac:dyDescent="0.25">
      <c r="A9" s="4">
        <v>45220</v>
      </c>
      <c r="B9" s="2" t="s">
        <v>127</v>
      </c>
      <c r="C9" s="6">
        <v>7</v>
      </c>
      <c r="D9" s="2">
        <v>76</v>
      </c>
      <c r="E9" s="2">
        <v>2</v>
      </c>
      <c r="F9" s="2">
        <v>55</v>
      </c>
      <c r="G9" s="2">
        <f t="shared" si="0"/>
        <v>175</v>
      </c>
      <c r="H9" s="3">
        <f t="shared" si="1"/>
        <v>26.057142857142857</v>
      </c>
      <c r="I9" s="3">
        <v>449</v>
      </c>
      <c r="J9" s="2"/>
      <c r="K9" s="2"/>
      <c r="L9" s="2">
        <v>76</v>
      </c>
    </row>
    <row r="10" spans="1:12" x14ac:dyDescent="0.25">
      <c r="A10" s="4">
        <v>45230</v>
      </c>
      <c r="B10" s="19" t="s">
        <v>128</v>
      </c>
      <c r="C10" s="6">
        <v>8</v>
      </c>
      <c r="D10" s="2">
        <v>110</v>
      </c>
      <c r="E10" s="2">
        <v>4</v>
      </c>
      <c r="F10" s="2">
        <v>16</v>
      </c>
      <c r="G10" s="2">
        <f t="shared" si="0"/>
        <v>256</v>
      </c>
      <c r="H10" s="3">
        <f t="shared" si="1"/>
        <v>25.78125</v>
      </c>
      <c r="I10" s="7">
        <v>496</v>
      </c>
      <c r="J10" s="2"/>
      <c r="K10" s="2"/>
      <c r="L10" s="2">
        <v>110</v>
      </c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679</v>
      </c>
      <c r="I24" s="1">
        <f>SUM(I3:I23)</f>
        <v>3312</v>
      </c>
      <c r="K24" s="1">
        <f>SUM(K1:K23)</f>
        <v>0</v>
      </c>
      <c r="L24" s="1">
        <f>SUM(L1:L23)</f>
        <v>644</v>
      </c>
    </row>
    <row r="25" spans="1:12" x14ac:dyDescent="0.25">
      <c r="A25" t="s">
        <v>25</v>
      </c>
      <c r="B25">
        <f>SUM(Sept!B25+Oct!D24)</f>
        <v>10239</v>
      </c>
      <c r="H25" s="1">
        <f>SUM(Sept!H25+Oct!I24)</f>
        <v>64924</v>
      </c>
      <c r="K25" s="1">
        <f>SUM(Sept!K25+Oct!K24)</f>
        <v>7538</v>
      </c>
      <c r="L25" s="1">
        <f>SUM(Sept!L25+Oct!L24)</f>
        <v>2394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12301</v>
      </c>
      <c r="L29">
        <f>SUM(L25+L27+L28)</f>
        <v>18125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topLeftCell="B1" workbookViewId="0">
      <selection activeCell="K14" sqref="K14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17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45237</v>
      </c>
      <c r="B3" s="6" t="s">
        <v>129</v>
      </c>
      <c r="C3" s="6">
        <v>1</v>
      </c>
      <c r="D3" s="6">
        <v>84</v>
      </c>
      <c r="E3" s="6">
        <v>3</v>
      </c>
      <c r="F3" s="6">
        <v>32</v>
      </c>
      <c r="G3" s="6">
        <f>SUM(E3*60+F3)</f>
        <v>212</v>
      </c>
      <c r="H3" s="7">
        <f>SUM(D3/G3*60)</f>
        <v>23.773584905660378</v>
      </c>
      <c r="I3" s="7">
        <v>398</v>
      </c>
      <c r="J3" s="2"/>
      <c r="K3" s="6"/>
      <c r="L3" s="6">
        <v>84</v>
      </c>
    </row>
    <row r="4" spans="1:12" x14ac:dyDescent="0.25">
      <c r="A4" s="4">
        <v>45239</v>
      </c>
      <c r="B4" s="2" t="s">
        <v>130</v>
      </c>
      <c r="C4" s="6">
        <v>2</v>
      </c>
      <c r="D4" s="2">
        <v>36</v>
      </c>
      <c r="E4" s="2">
        <v>1</v>
      </c>
      <c r="F4" s="2">
        <v>35</v>
      </c>
      <c r="G4" s="2">
        <f>SUM(E4*60+F4)</f>
        <v>95</v>
      </c>
      <c r="H4" s="3">
        <f t="shared" ref="H4:H23" si="0">SUM(D4/G4*60)</f>
        <v>22.736842105263158</v>
      </c>
      <c r="I4" s="7">
        <v>145</v>
      </c>
      <c r="J4" s="2"/>
      <c r="K4" s="2"/>
      <c r="L4" s="2">
        <v>36</v>
      </c>
    </row>
    <row r="5" spans="1:12" x14ac:dyDescent="0.25">
      <c r="A5" s="4">
        <v>45244</v>
      </c>
      <c r="B5" s="2" t="s">
        <v>131</v>
      </c>
      <c r="C5" s="6">
        <v>3</v>
      </c>
      <c r="D5" s="2">
        <v>86</v>
      </c>
      <c r="E5" s="2">
        <v>3</v>
      </c>
      <c r="F5" s="2">
        <v>41</v>
      </c>
      <c r="G5" s="2">
        <f>SUM(E5*60+F5)</f>
        <v>221</v>
      </c>
      <c r="H5" s="3">
        <f t="shared" si="0"/>
        <v>23.348416289592759</v>
      </c>
      <c r="I5" s="3">
        <v>470</v>
      </c>
      <c r="J5" s="2"/>
      <c r="K5" s="2"/>
      <c r="L5" s="2">
        <v>86</v>
      </c>
    </row>
    <row r="6" spans="1:12" x14ac:dyDescent="0.25">
      <c r="A6" s="4">
        <v>45247</v>
      </c>
      <c r="B6" s="2" t="s">
        <v>132</v>
      </c>
      <c r="C6" s="6">
        <v>4</v>
      </c>
      <c r="D6" s="2">
        <v>66</v>
      </c>
      <c r="E6" s="2">
        <v>2</v>
      </c>
      <c r="F6" s="2">
        <v>50</v>
      </c>
      <c r="G6" s="2">
        <f t="shared" ref="G6:G23" si="1">SUM(E6*60+F6)</f>
        <v>170</v>
      </c>
      <c r="H6" s="3">
        <f t="shared" si="0"/>
        <v>23.294117647058822</v>
      </c>
      <c r="I6" s="3">
        <v>314</v>
      </c>
      <c r="J6" s="2"/>
      <c r="K6" s="2"/>
      <c r="L6" s="2">
        <v>66</v>
      </c>
    </row>
    <row r="7" spans="1:12" x14ac:dyDescent="0.25">
      <c r="A7" s="4">
        <v>45248</v>
      </c>
      <c r="B7" s="2" t="s">
        <v>133</v>
      </c>
      <c r="C7" s="6">
        <v>5</v>
      </c>
      <c r="D7" s="2">
        <v>71</v>
      </c>
      <c r="E7" s="2">
        <v>3</v>
      </c>
      <c r="F7" s="2">
        <v>9</v>
      </c>
      <c r="G7" s="2">
        <f t="shared" si="1"/>
        <v>189</v>
      </c>
      <c r="H7" s="3">
        <f t="shared" si="0"/>
        <v>22.539682539682538</v>
      </c>
      <c r="I7" s="3">
        <v>374</v>
      </c>
      <c r="J7" s="2"/>
      <c r="K7" s="2"/>
      <c r="L7" s="2">
        <v>71</v>
      </c>
    </row>
    <row r="8" spans="1:12" x14ac:dyDescent="0.25">
      <c r="A8" s="4">
        <v>45251</v>
      </c>
      <c r="B8" s="2" t="s">
        <v>134</v>
      </c>
      <c r="C8" s="6">
        <v>6</v>
      </c>
      <c r="D8" s="2">
        <v>58</v>
      </c>
      <c r="E8" s="2">
        <v>2</v>
      </c>
      <c r="F8" s="2">
        <v>28</v>
      </c>
      <c r="G8" s="2">
        <f t="shared" si="1"/>
        <v>148</v>
      </c>
      <c r="H8" s="3">
        <f t="shared" si="0"/>
        <v>23.513513513513512</v>
      </c>
      <c r="I8" s="3">
        <v>270</v>
      </c>
      <c r="J8" s="2"/>
      <c r="K8" s="2"/>
      <c r="L8" s="2">
        <v>58</v>
      </c>
    </row>
    <row r="9" spans="1:12" x14ac:dyDescent="0.25">
      <c r="A9" s="4">
        <v>45255</v>
      </c>
      <c r="B9" s="2" t="s">
        <v>31</v>
      </c>
      <c r="C9" s="6">
        <v>7</v>
      </c>
      <c r="D9" s="2">
        <v>68</v>
      </c>
      <c r="E9" s="2">
        <v>3</v>
      </c>
      <c r="F9" s="2">
        <v>5</v>
      </c>
      <c r="G9" s="2">
        <f t="shared" si="1"/>
        <v>185</v>
      </c>
      <c r="H9" s="3">
        <f t="shared" si="0"/>
        <v>22.054054054054056</v>
      </c>
      <c r="I9" s="3">
        <v>391</v>
      </c>
      <c r="J9" s="2"/>
      <c r="K9" s="2"/>
      <c r="L9" s="2">
        <v>68</v>
      </c>
    </row>
    <row r="10" spans="1:12" x14ac:dyDescent="0.25">
      <c r="A10" s="4">
        <v>45258</v>
      </c>
      <c r="B10" s="2" t="s">
        <v>135</v>
      </c>
      <c r="C10" s="6">
        <v>8</v>
      </c>
      <c r="D10" s="2">
        <v>82</v>
      </c>
      <c r="E10" s="2">
        <v>3</v>
      </c>
      <c r="F10" s="2">
        <v>32</v>
      </c>
      <c r="G10" s="2">
        <f t="shared" si="1"/>
        <v>212</v>
      </c>
      <c r="H10" s="3">
        <f t="shared" si="0"/>
        <v>23.20754716981132</v>
      </c>
      <c r="I10" s="7">
        <v>306</v>
      </c>
      <c r="J10" s="2"/>
      <c r="K10" s="2"/>
      <c r="L10" s="2">
        <v>82</v>
      </c>
    </row>
    <row r="11" spans="1:12" x14ac:dyDescent="0.25">
      <c r="A11" s="4">
        <v>45260</v>
      </c>
      <c r="B11" s="2" t="s">
        <v>136</v>
      </c>
      <c r="C11" s="6">
        <v>9</v>
      </c>
      <c r="D11" s="2">
        <v>82</v>
      </c>
      <c r="E11" s="2">
        <v>3</v>
      </c>
      <c r="F11" s="2">
        <v>36</v>
      </c>
      <c r="G11" s="2">
        <f t="shared" si="1"/>
        <v>216</v>
      </c>
      <c r="H11" s="3">
        <f t="shared" si="0"/>
        <v>22.777777777777779</v>
      </c>
      <c r="I11" s="3">
        <v>492</v>
      </c>
      <c r="J11" s="2"/>
      <c r="K11" s="2"/>
      <c r="L11" s="2">
        <v>82</v>
      </c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1"/>
        <v>0</v>
      </c>
      <c r="H12" s="3" t="e">
        <f t="shared" si="0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3</v>
      </c>
      <c r="D13" s="2"/>
      <c r="E13" s="2"/>
      <c r="F13" s="2"/>
      <c r="G13" s="2">
        <f t="shared" si="1"/>
        <v>0</v>
      </c>
      <c r="H13" s="3" t="e">
        <f t="shared" si="0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1"/>
        <v>0</v>
      </c>
      <c r="H14" s="3" t="e">
        <f t="shared" si="0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1"/>
        <v>0</v>
      </c>
      <c r="H15" s="3" t="e">
        <f t="shared" si="0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1"/>
      <c r="F16" s="2"/>
      <c r="G16" s="2">
        <f t="shared" si="1"/>
        <v>0</v>
      </c>
      <c r="H16" s="3" t="e">
        <f t="shared" si="0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1"/>
        <v>0</v>
      </c>
      <c r="H17" s="3" t="e">
        <f t="shared" si="0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1"/>
        <v>0</v>
      </c>
      <c r="H18" s="3" t="e">
        <f t="shared" si="0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1"/>
        <v>0</v>
      </c>
      <c r="H19" s="3" t="e">
        <f t="shared" si="0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1"/>
        <v>0</v>
      </c>
      <c r="H20" s="3" t="e">
        <f t="shared" si="0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1"/>
        <v>0</v>
      </c>
      <c r="H21" s="3" t="e">
        <f t="shared" si="0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1"/>
        <v>0</v>
      </c>
      <c r="H22" s="3" t="e">
        <f t="shared" si="0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1"/>
        <v>0</v>
      </c>
      <c r="H23" s="3" t="e">
        <f t="shared" si="0"/>
        <v>#DIV/0!</v>
      </c>
      <c r="I23" s="3"/>
      <c r="J23" s="2"/>
      <c r="K23" s="2"/>
      <c r="L23" s="2"/>
    </row>
    <row r="24" spans="1:12" x14ac:dyDescent="0.25">
      <c r="D24">
        <f>SUM(D3:D23)</f>
        <v>633</v>
      </c>
      <c r="I24" s="1">
        <f>SUM(I3:I23)</f>
        <v>3160</v>
      </c>
      <c r="K24" s="1">
        <f>SUM(K1:K23)</f>
        <v>0</v>
      </c>
      <c r="L24" s="1">
        <f>SUM(L1:L23)</f>
        <v>633</v>
      </c>
    </row>
    <row r="25" spans="1:12" x14ac:dyDescent="0.25">
      <c r="A25" t="s">
        <v>25</v>
      </c>
      <c r="B25">
        <f>SUM(Oct!B25+Nov!D24)</f>
        <v>10872</v>
      </c>
      <c r="H25" s="1">
        <f>SUM(Oct!H25+Nov!I24)</f>
        <v>68084</v>
      </c>
      <c r="K25" s="1">
        <f>SUM(Oct!K25+Nov!K24)</f>
        <v>7538</v>
      </c>
      <c r="L25" s="1">
        <f>SUM(Oct!L25+Nov!L24)</f>
        <v>3027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12301</v>
      </c>
      <c r="L29">
        <f>SUM(L25+L27+L28)</f>
        <v>18758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9"/>
  <sheetViews>
    <sheetView tabSelected="1" topLeftCell="B1" workbookViewId="0">
      <selection activeCell="M21" sqref="M21"/>
    </sheetView>
  </sheetViews>
  <sheetFormatPr baseColWidth="10" defaultRowHeight="15" x14ac:dyDescent="0.25"/>
  <cols>
    <col min="1" max="1" width="12.5703125" customWidth="1"/>
    <col min="2" max="2" width="36.85546875" customWidth="1"/>
    <col min="3" max="3" width="3.7109375" customWidth="1"/>
    <col min="4" max="4" width="11.140625" customWidth="1"/>
    <col min="5" max="7" width="4.7109375" customWidth="1"/>
    <col min="8" max="8" width="10.140625" style="1" customWidth="1"/>
    <col min="9" max="9" width="8.5703125" style="1" customWidth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7" t="s">
        <v>18</v>
      </c>
      <c r="B1" s="57"/>
      <c r="C1" s="57"/>
      <c r="D1" s="57"/>
      <c r="E1" s="57"/>
      <c r="F1" s="57"/>
      <c r="G1" s="57"/>
      <c r="H1" s="13">
        <f>SUM(Janv!H1)</f>
        <v>2023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6" t="s">
        <v>3</v>
      </c>
      <c r="F2" s="56"/>
      <c r="G2" s="56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45265</v>
      </c>
      <c r="B3" s="6" t="s">
        <v>137</v>
      </c>
      <c r="C3" s="6">
        <v>1</v>
      </c>
      <c r="D3" s="6">
        <v>86</v>
      </c>
      <c r="E3" s="6">
        <v>3</v>
      </c>
      <c r="F3" s="6">
        <v>33</v>
      </c>
      <c r="G3" s="6">
        <f>SUM(E3*60+F3)</f>
        <v>213</v>
      </c>
      <c r="H3" s="7">
        <f>SUM(D3/G3*60)</f>
        <v>24.225352112676056</v>
      </c>
      <c r="I3" s="7">
        <v>398</v>
      </c>
      <c r="J3" s="6"/>
      <c r="K3" s="6"/>
      <c r="L3" s="6">
        <v>86</v>
      </c>
    </row>
    <row r="4" spans="1:12" x14ac:dyDescent="0.25">
      <c r="A4" s="4">
        <v>45276</v>
      </c>
      <c r="B4" s="2" t="s">
        <v>138</v>
      </c>
      <c r="C4" s="6">
        <v>2</v>
      </c>
      <c r="D4" s="2">
        <v>71</v>
      </c>
      <c r="E4" s="2">
        <v>3</v>
      </c>
      <c r="F4" s="2">
        <v>9</v>
      </c>
      <c r="G4" s="2">
        <f t="shared" ref="G4:G23" si="0">SUM(E4*60+F4)</f>
        <v>189</v>
      </c>
      <c r="H4" s="3">
        <f t="shared" ref="H4:H23" si="1">SUM(D4/G4*60)</f>
        <v>22.539682539682538</v>
      </c>
      <c r="I4" s="7">
        <v>354</v>
      </c>
      <c r="J4" s="6"/>
      <c r="K4" s="2"/>
      <c r="L4" s="2">
        <v>71</v>
      </c>
    </row>
    <row r="5" spans="1:12" x14ac:dyDescent="0.25">
      <c r="A5" s="4">
        <v>45279</v>
      </c>
      <c r="B5" s="2" t="s">
        <v>139</v>
      </c>
      <c r="C5" s="6">
        <v>3</v>
      </c>
      <c r="D5" s="2">
        <v>78</v>
      </c>
      <c r="E5" s="2">
        <v>3</v>
      </c>
      <c r="F5" s="2">
        <v>22</v>
      </c>
      <c r="G5" s="2">
        <f t="shared" si="0"/>
        <v>202</v>
      </c>
      <c r="H5" s="3">
        <f t="shared" si="1"/>
        <v>23.168316831683168</v>
      </c>
      <c r="I5" s="3">
        <v>415</v>
      </c>
      <c r="J5" s="2"/>
      <c r="K5" s="2"/>
      <c r="L5" s="2">
        <v>78</v>
      </c>
    </row>
    <row r="6" spans="1:12" s="28" customFormat="1" x14ac:dyDescent="0.25">
      <c r="A6" s="23">
        <v>45283</v>
      </c>
      <c r="B6" s="24" t="s">
        <v>140</v>
      </c>
      <c r="C6" s="25">
        <v>4</v>
      </c>
      <c r="D6" s="24">
        <v>74</v>
      </c>
      <c r="E6" s="24">
        <v>3</v>
      </c>
      <c r="F6" s="24">
        <v>8</v>
      </c>
      <c r="G6" s="24">
        <f t="shared" si="0"/>
        <v>188</v>
      </c>
      <c r="H6" s="26">
        <f t="shared" si="1"/>
        <v>23.617021276595747</v>
      </c>
      <c r="I6" s="26">
        <v>373</v>
      </c>
      <c r="J6" s="24"/>
      <c r="K6" s="2"/>
      <c r="L6" s="2">
        <v>74</v>
      </c>
    </row>
    <row r="7" spans="1:12" s="28" customFormat="1" x14ac:dyDescent="0.25">
      <c r="A7" s="23">
        <v>45286</v>
      </c>
      <c r="B7" s="24" t="s">
        <v>141</v>
      </c>
      <c r="C7" s="25">
        <v>5</v>
      </c>
      <c r="D7" s="24">
        <v>89</v>
      </c>
      <c r="E7" s="24">
        <v>3</v>
      </c>
      <c r="F7" s="24">
        <v>36</v>
      </c>
      <c r="G7" s="24">
        <f t="shared" si="0"/>
        <v>216</v>
      </c>
      <c r="H7" s="26">
        <f t="shared" si="1"/>
        <v>24.722222222222221</v>
      </c>
      <c r="I7" s="26">
        <v>435</v>
      </c>
      <c r="J7" s="24"/>
      <c r="K7" s="2"/>
      <c r="L7" s="2">
        <v>89</v>
      </c>
    </row>
    <row r="8" spans="1:12" s="28" customFormat="1" x14ac:dyDescent="0.25">
      <c r="A8" s="23">
        <v>45288</v>
      </c>
      <c r="B8" s="24" t="s">
        <v>142</v>
      </c>
      <c r="C8" s="25">
        <v>6</v>
      </c>
      <c r="D8" s="24">
        <v>63</v>
      </c>
      <c r="E8" s="24">
        <v>2</v>
      </c>
      <c r="F8" s="24">
        <v>43</v>
      </c>
      <c r="G8" s="24">
        <f t="shared" si="0"/>
        <v>163</v>
      </c>
      <c r="H8" s="26">
        <f t="shared" si="1"/>
        <v>23.190184049079754</v>
      </c>
      <c r="I8" s="26">
        <v>426</v>
      </c>
      <c r="J8" s="24"/>
      <c r="K8" s="2"/>
      <c r="L8" s="2">
        <v>63</v>
      </c>
    </row>
    <row r="9" spans="1:12" s="28" customFormat="1" x14ac:dyDescent="0.25">
      <c r="A9" s="23"/>
      <c r="B9" s="25"/>
      <c r="C9" s="25">
        <v>7</v>
      </c>
      <c r="D9" s="24"/>
      <c r="E9" s="24"/>
      <c r="F9" s="24"/>
      <c r="G9" s="24">
        <f t="shared" si="0"/>
        <v>0</v>
      </c>
      <c r="H9" s="26" t="e">
        <f t="shared" si="1"/>
        <v>#DIV/0!</v>
      </c>
      <c r="I9" s="26"/>
      <c r="J9" s="24"/>
      <c r="K9" s="2"/>
      <c r="L9" s="2"/>
    </row>
    <row r="10" spans="1:12" s="28" customFormat="1" x14ac:dyDescent="0.25">
      <c r="A10" s="23"/>
      <c r="B10" s="24"/>
      <c r="C10" s="25">
        <v>8</v>
      </c>
      <c r="D10" s="24"/>
      <c r="E10" s="24"/>
      <c r="F10" s="24"/>
      <c r="G10" s="24">
        <f t="shared" si="0"/>
        <v>0</v>
      </c>
      <c r="H10" s="26" t="e">
        <f t="shared" si="1"/>
        <v>#DIV/0!</v>
      </c>
      <c r="I10" s="27"/>
      <c r="J10" s="25"/>
      <c r="K10" s="2"/>
      <c r="L10" s="2"/>
    </row>
    <row r="11" spans="1:12" s="28" customFormat="1" x14ac:dyDescent="0.25">
      <c r="A11" s="23"/>
      <c r="B11" s="24"/>
      <c r="C11" s="25">
        <v>9</v>
      </c>
      <c r="D11" s="24"/>
      <c r="E11" s="24"/>
      <c r="F11" s="24"/>
      <c r="G11" s="24">
        <f t="shared" si="0"/>
        <v>0</v>
      </c>
      <c r="H11" s="26" t="e">
        <f t="shared" si="1"/>
        <v>#DIV/0!</v>
      </c>
      <c r="I11" s="26"/>
      <c r="J11" s="24"/>
      <c r="K11" s="2"/>
      <c r="L11" s="2"/>
    </row>
    <row r="12" spans="1:12" s="28" customFormat="1" x14ac:dyDescent="0.25">
      <c r="A12" s="23"/>
      <c r="B12" s="24"/>
      <c r="C12" s="25">
        <v>10</v>
      </c>
      <c r="D12" s="24"/>
      <c r="E12" s="24"/>
      <c r="F12" s="24"/>
      <c r="G12" s="24">
        <f t="shared" si="0"/>
        <v>0</v>
      </c>
      <c r="H12" s="26" t="e">
        <f t="shared" si="1"/>
        <v>#DIV/0!</v>
      </c>
      <c r="I12" s="26"/>
      <c r="J12" s="24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461</v>
      </c>
      <c r="I24" s="1">
        <f>SUM(I3:I23)</f>
        <v>2401</v>
      </c>
      <c r="K24" s="1">
        <f>SUM(K1:K23)</f>
        <v>0</v>
      </c>
      <c r="L24" s="1">
        <f>SUM(L1:L23)</f>
        <v>461</v>
      </c>
    </row>
    <row r="25" spans="1:12" x14ac:dyDescent="0.25">
      <c r="A25" t="s">
        <v>25</v>
      </c>
      <c r="B25">
        <f>SUM(Nov!B25+Déc!D24)</f>
        <v>11333</v>
      </c>
      <c r="H25" s="1">
        <f>SUM(Nov!H25+Déc!I24)</f>
        <v>70485</v>
      </c>
      <c r="K25" s="1">
        <f>SUM(Nov!K25+Déc!K24)</f>
        <v>7538</v>
      </c>
      <c r="L25" s="1">
        <f>SUM(Nov!L25+Déc!L24)</f>
        <v>3488</v>
      </c>
    </row>
    <row r="27" spans="1:12" x14ac:dyDescent="0.25">
      <c r="J27" t="s">
        <v>22</v>
      </c>
      <c r="K27">
        <v>1843</v>
      </c>
      <c r="L27">
        <v>9688</v>
      </c>
    </row>
    <row r="28" spans="1:12" x14ac:dyDescent="0.25">
      <c r="J28" t="s">
        <v>24</v>
      </c>
      <c r="K28">
        <f>SUM(Janv!K27)</f>
        <v>2920</v>
      </c>
      <c r="L28">
        <f>SUM(Janv!L27)</f>
        <v>6043</v>
      </c>
    </row>
    <row r="29" spans="1:12" x14ac:dyDescent="0.25">
      <c r="J29" t="s">
        <v>23</v>
      </c>
      <c r="K29">
        <f>SUM(K25+K27+K28)</f>
        <v>12301</v>
      </c>
      <c r="L29">
        <f>SUM(L25+L27+L28)</f>
        <v>19219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Feuil1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patrice.gouadon@outlook.fr</cp:lastModifiedBy>
  <dcterms:created xsi:type="dcterms:W3CDTF">2015-01-07T20:15:24Z</dcterms:created>
  <dcterms:modified xsi:type="dcterms:W3CDTF">2023-12-28T16:48:19Z</dcterms:modified>
</cp:coreProperties>
</file>