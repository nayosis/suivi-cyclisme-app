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\Documents\Cyclo\suiviPerf\"/>
    </mc:Choice>
  </mc:AlternateContent>
  <xr:revisionPtr revIDLastSave="0" documentId="13_ncr:1_{3B5C115B-750F-46BA-BD66-CCE43E633A6F}" xr6:coauthVersionLast="47" xr6:coauthVersionMax="47" xr10:uidLastSave="{00000000-0000-0000-0000-000000000000}"/>
  <bookViews>
    <workbookView xWindow="-120" yWindow="-120" windowWidth="29040" windowHeight="15840" firstSheet="5" activeTab="12" xr2:uid="{00000000-000D-0000-FFFF-FFFF00000000}"/>
  </bookViews>
  <sheets>
    <sheet name="Janv" sheetId="1" r:id="rId1"/>
    <sheet name="Fév" sheetId="2" r:id="rId2"/>
    <sheet name="Mar" sheetId="3" r:id="rId3"/>
    <sheet name="Avr" sheetId="4" r:id="rId4"/>
    <sheet name="Mai" sheetId="5" r:id="rId5"/>
    <sheet name="Juin" sheetId="6" r:id="rId6"/>
    <sheet name="Juil" sheetId="7" r:id="rId7"/>
    <sheet name="Aout" sheetId="8" r:id="rId8"/>
    <sheet name="Feuil1" sheetId="13" r:id="rId9"/>
    <sheet name="Sept" sheetId="9" r:id="rId10"/>
    <sheet name="Oct" sheetId="10" r:id="rId11"/>
    <sheet name="Feuil2" sheetId="14" r:id="rId12"/>
    <sheet name="Nov" sheetId="11" r:id="rId13"/>
    <sheet name="Déc" sheetId="12" r:id="rId14"/>
  </sheets>
  <calcPr calcId="191029"/>
</workbook>
</file>

<file path=xl/calcChain.xml><?xml version="1.0" encoding="utf-8"?>
<calcChain xmlns="http://schemas.openxmlformats.org/spreadsheetml/2006/main">
  <c r="D24" i="8" l="1"/>
  <c r="B25" i="8" s="1"/>
  <c r="K25" i="3"/>
  <c r="G3" i="1"/>
  <c r="G23" i="7" l="1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H23" i="7"/>
  <c r="D24" i="7"/>
  <c r="I24" i="7"/>
  <c r="K24" i="7"/>
  <c r="L24" i="7"/>
  <c r="L24" i="12" l="1"/>
  <c r="K24" i="12"/>
  <c r="L24" i="11"/>
  <c r="K24" i="11"/>
  <c r="L24" i="10"/>
  <c r="K24" i="10"/>
  <c r="L24" i="9"/>
  <c r="K24" i="9"/>
  <c r="L24" i="8"/>
  <c r="K24" i="8"/>
  <c r="G23" i="6"/>
  <c r="H23" i="6" s="1"/>
  <c r="G9" i="6"/>
  <c r="L24" i="6"/>
  <c r="K24" i="6"/>
  <c r="L24" i="5"/>
  <c r="K24" i="5"/>
  <c r="L24" i="4"/>
  <c r="K24" i="4"/>
  <c r="L24" i="3"/>
  <c r="K24" i="3"/>
  <c r="L24" i="2"/>
  <c r="K24" i="2"/>
  <c r="L24" i="1"/>
  <c r="L25" i="1" s="1"/>
  <c r="K24" i="1"/>
  <c r="K25" i="1" s="1"/>
  <c r="K25" i="2" l="1"/>
  <c r="L25" i="2"/>
  <c r="G3" i="10"/>
  <c r="L25" i="3" l="1"/>
  <c r="K25" i="4" l="1"/>
  <c r="L25" i="4"/>
  <c r="G12" i="8"/>
  <c r="H12" i="8" s="1"/>
  <c r="G7" i="8"/>
  <c r="H7" i="8" s="1"/>
  <c r="H11" i="7"/>
  <c r="H10" i="7"/>
  <c r="I24" i="11"/>
  <c r="I24" i="10"/>
  <c r="I24" i="9"/>
  <c r="I24" i="8"/>
  <c r="I24" i="6"/>
  <c r="I24" i="5"/>
  <c r="I24" i="4"/>
  <c r="I24" i="3"/>
  <c r="I24" i="2"/>
  <c r="I24" i="1"/>
  <c r="H25" i="1" s="1"/>
  <c r="I24" i="12"/>
  <c r="H1" i="12"/>
  <c r="H1" i="11"/>
  <c r="H1" i="10"/>
  <c r="H1" i="9"/>
  <c r="H1" i="8"/>
  <c r="H1" i="7"/>
  <c r="H1" i="6"/>
  <c r="H1" i="4"/>
  <c r="H1" i="5"/>
  <c r="H1" i="3"/>
  <c r="H1" i="2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G22" i="5"/>
  <c r="H22" i="5" s="1"/>
  <c r="G23" i="5"/>
  <c r="H23" i="5" s="1"/>
  <c r="G3" i="12"/>
  <c r="H3" i="12" s="1"/>
  <c r="G4" i="12"/>
  <c r="H4" i="12" s="1"/>
  <c r="G5" i="12"/>
  <c r="H5" i="12" s="1"/>
  <c r="G6" i="12"/>
  <c r="H6" i="12" s="1"/>
  <c r="G7" i="12"/>
  <c r="H7" i="12" s="1"/>
  <c r="G8" i="12"/>
  <c r="H8" i="12" s="1"/>
  <c r="G9" i="12"/>
  <c r="H9" i="12" s="1"/>
  <c r="G10" i="12"/>
  <c r="H10" i="12" s="1"/>
  <c r="G11" i="12"/>
  <c r="H11" i="12" s="1"/>
  <c r="G12" i="12"/>
  <c r="H12" i="12" s="1"/>
  <c r="G13" i="12"/>
  <c r="H13" i="12" s="1"/>
  <c r="G14" i="12"/>
  <c r="H14" i="12" s="1"/>
  <c r="G16" i="11"/>
  <c r="H16" i="11" s="1"/>
  <c r="G22" i="8"/>
  <c r="G21" i="8"/>
  <c r="H21" i="8" s="1"/>
  <c r="G20" i="8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1" i="8"/>
  <c r="H11" i="8" s="1"/>
  <c r="G10" i="8"/>
  <c r="H10" i="8" s="1"/>
  <c r="G9" i="8"/>
  <c r="H9" i="8" s="1"/>
  <c r="G8" i="8"/>
  <c r="H8" i="8" s="1"/>
  <c r="G6" i="8"/>
  <c r="H6" i="8" s="1"/>
  <c r="G5" i="8"/>
  <c r="H5" i="8" s="1"/>
  <c r="G4" i="8"/>
  <c r="H4" i="8" s="1"/>
  <c r="G3" i="8"/>
  <c r="H3" i="8" s="1"/>
  <c r="H22" i="7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H9" i="6"/>
  <c r="G8" i="6"/>
  <c r="H8" i="6" s="1"/>
  <c r="G7" i="6"/>
  <c r="H7" i="6" s="1"/>
  <c r="G6" i="6"/>
  <c r="H6" i="6" s="1"/>
  <c r="G5" i="6"/>
  <c r="H5" i="6" s="1"/>
  <c r="G4" i="6"/>
  <c r="H4" i="6" s="1"/>
  <c r="G3" i="6"/>
  <c r="H3" i="6" s="1"/>
  <c r="G13" i="4"/>
  <c r="H13" i="4" s="1"/>
  <c r="H3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2" i="11"/>
  <c r="H12" i="11" s="1"/>
  <c r="G9" i="9"/>
  <c r="H9" i="9" s="1"/>
  <c r="G7" i="9"/>
  <c r="H7" i="9" s="1"/>
  <c r="G6" i="9"/>
  <c r="H6" i="9" s="1"/>
  <c r="G8" i="4"/>
  <c r="H8" i="4" s="1"/>
  <c r="D24" i="12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D24" i="11"/>
  <c r="G23" i="11"/>
  <c r="H23" i="11" s="1"/>
  <c r="G22" i="11"/>
  <c r="H22" i="11" s="1"/>
  <c r="G21" i="11"/>
  <c r="H21" i="11" s="1"/>
  <c r="G20" i="11"/>
  <c r="H20" i="11" s="1"/>
  <c r="G19" i="11"/>
  <c r="H19" i="11" s="1"/>
  <c r="G18" i="11"/>
  <c r="H18" i="11" s="1"/>
  <c r="G17" i="11"/>
  <c r="H17" i="11" s="1"/>
  <c r="G15" i="11"/>
  <c r="H15" i="11" s="1"/>
  <c r="G14" i="11"/>
  <c r="H14" i="11" s="1"/>
  <c r="G13" i="11"/>
  <c r="H13" i="11" s="1"/>
  <c r="G11" i="11"/>
  <c r="H11" i="11" s="1"/>
  <c r="G10" i="11"/>
  <c r="H10" i="11" s="1"/>
  <c r="G9" i="11"/>
  <c r="H9" i="11" s="1"/>
  <c r="G8" i="11"/>
  <c r="H8" i="11" s="1"/>
  <c r="G7" i="11"/>
  <c r="H7" i="11" s="1"/>
  <c r="G6" i="11"/>
  <c r="H6" i="11" s="1"/>
  <c r="G5" i="11"/>
  <c r="H5" i="11" s="1"/>
  <c r="G4" i="11"/>
  <c r="H4" i="11" s="1"/>
  <c r="G3" i="11"/>
  <c r="H3" i="11" s="1"/>
  <c r="D24" i="10"/>
  <c r="G23" i="10"/>
  <c r="H23" i="10" s="1"/>
  <c r="G22" i="10"/>
  <c r="H22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G7" i="10"/>
  <c r="H7" i="10" s="1"/>
  <c r="G6" i="10"/>
  <c r="H6" i="10" s="1"/>
  <c r="G5" i="10"/>
  <c r="H5" i="10" s="1"/>
  <c r="G4" i="10"/>
  <c r="H4" i="10" s="1"/>
  <c r="H3" i="10"/>
  <c r="D24" i="9"/>
  <c r="B25" i="9" s="1"/>
  <c r="G23" i="9"/>
  <c r="H23" i="9" s="1"/>
  <c r="G22" i="9"/>
  <c r="H22" i="9" s="1"/>
  <c r="G21" i="9"/>
  <c r="H21" i="9" s="1"/>
  <c r="G20" i="9"/>
  <c r="H20" i="9" s="1"/>
  <c r="G19" i="9"/>
  <c r="H19" i="9" s="1"/>
  <c r="G18" i="9"/>
  <c r="H18" i="9" s="1"/>
  <c r="G17" i="9"/>
  <c r="H17" i="9" s="1"/>
  <c r="G16" i="9"/>
  <c r="H16" i="9" s="1"/>
  <c r="G15" i="9"/>
  <c r="H15" i="9" s="1"/>
  <c r="G14" i="9"/>
  <c r="H14" i="9" s="1"/>
  <c r="G13" i="9"/>
  <c r="H13" i="9" s="1"/>
  <c r="G12" i="9"/>
  <c r="H12" i="9" s="1"/>
  <c r="G11" i="9"/>
  <c r="H11" i="9" s="1"/>
  <c r="G10" i="9"/>
  <c r="H10" i="9" s="1"/>
  <c r="G8" i="9"/>
  <c r="H8" i="9" s="1"/>
  <c r="G5" i="9"/>
  <c r="H5" i="9" s="1"/>
  <c r="G4" i="9"/>
  <c r="H4" i="9" s="1"/>
  <c r="G3" i="9"/>
  <c r="H3" i="9" s="1"/>
  <c r="G23" i="8"/>
  <c r="H23" i="8" s="1"/>
  <c r="H22" i="8"/>
  <c r="H20" i="8"/>
  <c r="H21" i="7"/>
  <c r="H20" i="7"/>
  <c r="H19" i="7"/>
  <c r="H18" i="7"/>
  <c r="H17" i="7"/>
  <c r="H16" i="7"/>
  <c r="H15" i="7"/>
  <c r="H14" i="7"/>
  <c r="H13" i="7"/>
  <c r="H12" i="7"/>
  <c r="H9" i="7"/>
  <c r="H8" i="7"/>
  <c r="H7" i="7"/>
  <c r="H6" i="7"/>
  <c r="H5" i="7"/>
  <c r="H4" i="7"/>
  <c r="H3" i="7"/>
  <c r="D24" i="6"/>
  <c r="G22" i="6"/>
  <c r="H22" i="6" s="1"/>
  <c r="G21" i="6"/>
  <c r="H21" i="6" s="1"/>
  <c r="D24" i="5"/>
  <c r="H21" i="5"/>
  <c r="D24" i="4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2" i="4"/>
  <c r="H12" i="4" s="1"/>
  <c r="G11" i="4"/>
  <c r="H11" i="4" s="1"/>
  <c r="G10" i="4"/>
  <c r="H10" i="4" s="1"/>
  <c r="G9" i="4"/>
  <c r="H9" i="4" s="1"/>
  <c r="G7" i="4"/>
  <c r="H7" i="4" s="1"/>
  <c r="G6" i="4"/>
  <c r="H6" i="4" s="1"/>
  <c r="G5" i="4"/>
  <c r="H5" i="4" s="1"/>
  <c r="G4" i="4"/>
  <c r="H4" i="4" s="1"/>
  <c r="G3" i="4"/>
  <c r="H3" i="4" s="1"/>
  <c r="G23" i="1"/>
  <c r="H23" i="1" s="1"/>
  <c r="D24" i="3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D24" i="2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D24" i="1"/>
  <c r="B25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K25" i="5" l="1"/>
  <c r="L25" i="5"/>
  <c r="H25" i="2"/>
  <c r="H25" i="3" s="1"/>
  <c r="H25" i="4" s="1"/>
  <c r="H25" i="5" s="1"/>
  <c r="H25" i="6" s="1"/>
  <c r="B25" i="2"/>
  <c r="B25" i="3" s="1"/>
  <c r="B25" i="4" s="1"/>
  <c r="B25" i="5" s="1"/>
  <c r="B25" i="6" s="1"/>
  <c r="K25" i="6" l="1"/>
  <c r="H25" i="7"/>
  <c r="H25" i="8" s="1"/>
  <c r="B25" i="7"/>
  <c r="B25" i="10" s="1"/>
  <c r="B25" i="11" s="1"/>
  <c r="B25" i="12" s="1"/>
  <c r="L25" i="6"/>
  <c r="H25" i="9" l="1"/>
  <c r="H25" i="10" s="1"/>
  <c r="H25" i="11" s="1"/>
  <c r="H25" i="12" s="1"/>
  <c r="K25" i="7"/>
  <c r="L25" i="7"/>
  <c r="K25" i="8" l="1"/>
  <c r="K25" i="9" s="1"/>
  <c r="L25" i="8"/>
  <c r="L25" i="9" s="1"/>
  <c r="K25" i="10" l="1"/>
  <c r="L25" i="10"/>
  <c r="K25" i="11" l="1"/>
  <c r="L25" i="11"/>
  <c r="K25" i="12" l="1"/>
  <c r="K30" i="12" s="1"/>
  <c r="L25" i="12"/>
  <c r="L27" i="9"/>
  <c r="L30" i="9" s="1"/>
  <c r="L27" i="5"/>
  <c r="L30" i="5" s="1"/>
  <c r="L27" i="2"/>
  <c r="L30" i="2" s="1"/>
  <c r="L27" i="7"/>
  <c r="L30" i="7" s="1"/>
  <c r="L27" i="10"/>
  <c r="L30" i="10" s="1"/>
  <c r="L27" i="8"/>
  <c r="L30" i="8" s="1"/>
  <c r="L30" i="3"/>
  <c r="L27" i="3"/>
  <c r="L27" i="6"/>
  <c r="L30" i="6" s="1"/>
  <c r="L27" i="12"/>
  <c r="L27" i="11"/>
  <c r="L30" i="11" s="1"/>
  <c r="L27" i="4"/>
  <c r="L30" i="4" s="1"/>
  <c r="L30" i="1"/>
  <c r="K30" i="9"/>
  <c r="K27" i="9"/>
  <c r="K27" i="8"/>
  <c r="K30" i="8" s="1"/>
  <c r="K27" i="2"/>
  <c r="K30" i="2" s="1"/>
  <c r="K27" i="4"/>
  <c r="K30" i="4" s="1"/>
  <c r="K27" i="12"/>
  <c r="K30" i="1"/>
  <c r="K27" i="3"/>
  <c r="K30" i="3"/>
  <c r="K27" i="11"/>
  <c r="K30" i="11"/>
  <c r="K27" i="5"/>
  <c r="K30" i="5"/>
  <c r="K27" i="7"/>
  <c r="K30" i="7"/>
  <c r="K27" i="6"/>
  <c r="K30" i="6"/>
  <c r="K27" i="10"/>
  <c r="K30" i="10"/>
  <c r="L30" i="12" l="1"/>
</calcChain>
</file>

<file path=xl/sharedStrings.xml><?xml version="1.0" encoding="utf-8"?>
<sst xmlns="http://schemas.openxmlformats.org/spreadsheetml/2006/main" count="277" uniqueCount="99">
  <si>
    <t>Dates</t>
  </si>
  <si>
    <t>Désignation Sorties</t>
  </si>
  <si>
    <t>Distances</t>
  </si>
  <si>
    <t>Durées</t>
  </si>
  <si>
    <t>Vit. Moy.</t>
  </si>
  <si>
    <t>Remarques</t>
  </si>
  <si>
    <t>Nb</t>
  </si>
  <si>
    <t xml:space="preserve">Suivi Performances Janvier </t>
  </si>
  <si>
    <t>Suivi Performances Février</t>
  </si>
  <si>
    <t xml:space="preserve">Suivi Performances Mars </t>
  </si>
  <si>
    <t xml:space="preserve">Suivi Performances Avril </t>
  </si>
  <si>
    <t xml:space="preserve">Suivi Performances Mai </t>
  </si>
  <si>
    <t xml:space="preserve">Suivi Performances Juin </t>
  </si>
  <si>
    <t>Suivi Performances Juillet</t>
  </si>
  <si>
    <t xml:space="preserve">Suivi Performances Août </t>
  </si>
  <si>
    <t>Suivi Performances Septembre</t>
  </si>
  <si>
    <t xml:space="preserve">Suivi Performances Octobre </t>
  </si>
  <si>
    <t xml:space="preserve">Suivi Performances Novembre </t>
  </si>
  <si>
    <t xml:space="preserve">Suivi Performances Décembre </t>
  </si>
  <si>
    <t>Dév +</t>
  </si>
  <si>
    <t>Brochard</t>
  </si>
  <si>
    <t>S1NEO</t>
  </si>
  <si>
    <t>Année 2021</t>
  </si>
  <si>
    <t>KM total</t>
  </si>
  <si>
    <t>Année 2022</t>
  </si>
  <si>
    <t>Km total 2024</t>
  </si>
  <si>
    <t>Année 2023</t>
  </si>
  <si>
    <t xml:space="preserve">Année </t>
  </si>
  <si>
    <t>Avoine La Breille Allonnes</t>
  </si>
  <si>
    <t>Chinon  Huismes Langeais Restigné</t>
  </si>
  <si>
    <t>Chinon Restigné Langeais Huismes</t>
  </si>
  <si>
    <t>Avoine Panzoult Cheillé Rigny Ussé</t>
  </si>
  <si>
    <t>Avoine Ingrandes Langeais chinon</t>
  </si>
  <si>
    <t>Avoine Chacé Morton Couziers</t>
  </si>
  <si>
    <t>Chinon Lerné Basses ceaux</t>
  </si>
  <si>
    <t>Avoine  Lignière vallère St Benoit</t>
  </si>
  <si>
    <t>Chinon Fontevraud Chacé Saix Roiffé</t>
  </si>
  <si>
    <t>Avoine</t>
  </si>
  <si>
    <t>Chinon La Breille Allonnes</t>
  </si>
  <si>
    <t>Chinon fontevraud 3 Moutiers vézières ceaux</t>
  </si>
  <si>
    <t>Chinon IB Luzé Richelieu</t>
  </si>
  <si>
    <t>Chinon Roiffé 3 moutiers basses Ceaux</t>
  </si>
  <si>
    <t>Avoine Saumur Les Ulmes St Cyr</t>
  </si>
  <si>
    <t>Chinon Saumur Meigné Montreuil Roiffé</t>
  </si>
  <si>
    <t>Chinon Courléon Les essarts restigné</t>
  </si>
  <si>
    <t>Chinon Ussé Saché St Epain Cravant</t>
  </si>
  <si>
    <t>Chinon Roiffé Mouterre Rossay</t>
  </si>
  <si>
    <t>Chinon Richelieu Marigny Port IB</t>
  </si>
  <si>
    <t>Chinon Messemé Angliers Rossay</t>
  </si>
  <si>
    <t>Avoine sa&amp;ix 3 Moutiers Verniers Sammarçolles</t>
  </si>
  <si>
    <t>Chinon Ceaux Pouant Dercé Rossay Marçay</t>
  </si>
  <si>
    <t>BRM 200 2024 ANGERS</t>
  </si>
  <si>
    <t>Avoine Courléon La Breille Blou Varenne</t>
  </si>
  <si>
    <t>Avoine Lémeré Tour St Gelin Braslou Nueil Ceaux</t>
  </si>
  <si>
    <t>Chinon Bourgueil Continvoir Langeais</t>
  </si>
  <si>
    <t>Avoine Vernoil Mouliherne Blou</t>
  </si>
  <si>
    <t>Chinon Courléon Avrillé Langeais</t>
  </si>
  <si>
    <t>Montsoreu</t>
  </si>
  <si>
    <t>Chinon 3 moutiers Silly Rossay</t>
  </si>
  <si>
    <t>Chinon Langeais Mazière St Etienne Langeais</t>
  </si>
  <si>
    <t>Avoine Cheillé Azay Druye Ussé</t>
  </si>
  <si>
    <t>Avoine Couziers Chinon</t>
  </si>
  <si>
    <t>Avoine Richelieu Lémeré Ligré</t>
  </si>
  <si>
    <t>Montsoreau Flamme olympique</t>
  </si>
  <si>
    <t>Chinon Saumur Rou Cisay St Cyr</t>
  </si>
  <si>
    <t>Chinon Courléon La Breille Blou</t>
  </si>
  <si>
    <t>BRASPARTS Lac Brennilis</t>
  </si>
  <si>
    <t>Brasparts Landevennec Crozon</t>
  </si>
  <si>
    <t>Brasparts Huelgoat Chapelle St Michel</t>
  </si>
  <si>
    <t>Brasparts Le Faou</t>
  </si>
  <si>
    <t>Chinon Roiffé Mouterre Messemé Marçay</t>
  </si>
  <si>
    <t>Chinon St Epain Villeperdue Azay</t>
  </si>
  <si>
    <t>Avoine Bourgueil Avrillé Langeais</t>
  </si>
  <si>
    <t>Avoine Couziers Chacé Milly Gennes Saumur</t>
  </si>
  <si>
    <t>Chinon St Epain Ville perdue Monts Azay</t>
  </si>
  <si>
    <t>Chinon Marçay Nueil Serigny Marigny Lemeré</t>
  </si>
  <si>
    <t>Chinon Candes Vernoil Blou</t>
  </si>
  <si>
    <t>Le Bourg d'Hem Pont du Diable</t>
  </si>
  <si>
    <t>Le Bourg d'Hem Bonnat</t>
  </si>
  <si>
    <t>Avoine Gennes</t>
  </si>
  <si>
    <t>Avoine Vernoil St philbert Allonnes</t>
  </si>
  <si>
    <t>Chinon Cravant Rivarennes Langeais Ingrandes</t>
  </si>
  <si>
    <t>Avoine Montsoreau Chaintre Distré Monfort Montreuil</t>
  </si>
  <si>
    <t>Chinon Champigny La tour St Gelin Marcilly Trogues</t>
  </si>
  <si>
    <t>Chinon St Epain St Catherine St Maure Pouzay IB</t>
  </si>
  <si>
    <t>Avoine Varennes Montsoreau</t>
  </si>
  <si>
    <t>Avoine Avrillé La Rouchouze Langeais</t>
  </si>
  <si>
    <t>Avoine Villandry St Epain Chinon</t>
  </si>
  <si>
    <t>Avoine Bourgueil Avrllé Langeais</t>
  </si>
  <si>
    <t>Avoine Courléon Vernoil Saumur</t>
  </si>
  <si>
    <t>Avoine Vernante Allonnes</t>
  </si>
  <si>
    <t>Azay VTT Loulou</t>
  </si>
  <si>
    <t>VTT Loulou</t>
  </si>
  <si>
    <t>Avoine Avon Vilaine Saché Azay</t>
  </si>
  <si>
    <t>Avoine St Benoit Marnay Lignière</t>
  </si>
  <si>
    <t>Avoine Benais Les Essarts Langeais</t>
  </si>
  <si>
    <t>Avoine Gizeux Langeais</t>
  </si>
  <si>
    <t>Avoine Marçay Basses 3 Moutiers Saix</t>
  </si>
  <si>
    <t>Avoine Marçay Basses Bournand Couziers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</si>
</sst>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164" fontId="0" fillId="0" borderId="2" xfId="0" applyNumberFormat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3" fillId="0" borderId="1" xfId="0" applyFont="1" applyBorder="1"/>
    <xf numFmtId="14" fontId="0" fillId="0" borderId="0" xfId="0" applyNumberFormat="1"/>
    <xf numFmtId="16" fontId="0" fillId="0" borderId="1" xfId="0" applyNumberFormat="1" applyBorder="1"/>
    <xf numFmtId="0" fontId="4" fillId="2" borderId="0" xfId="0" applyFont="1" applyFill="1"/>
    <xf numFmtId="0" fontId="0" fillId="0" borderId="9" xfId="0" applyBorder="1"/>
    <xf numFmtId="0" fontId="5" fillId="0" borderId="0" xfId="0" applyFont="1"/>
    <xf numFmtId="14" fontId="0" fillId="2" borderId="1" xfId="0" applyNumberFormat="1" applyFill="1" applyBorder="1"/>
    <xf numFmtId="0" fontId="0" fillId="2" borderId="1" xfId="0" applyFill="1" applyBorder="1"/>
    <xf numFmtId="0" fontId="0" fillId="2" borderId="2" xfId="0" applyFill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0" fontId="0" fillId="2" borderId="0" xfId="0" applyFill="1"/>
    <xf numFmtId="0" fontId="2" fillId="0" borderId="8" xfId="0" applyFont="1" applyBorder="1"/>
    <xf numFmtId="0" fontId="0" fillId="0" borderId="10" xfId="0" applyBorder="1"/>
    <xf numFmtId="16" fontId="0" fillId="0" borderId="11" xfId="0" applyNumberFormat="1" applyBorder="1"/>
    <xf numFmtId="0" fontId="0" fillId="0" borderId="11" xfId="0" applyBorder="1"/>
    <xf numFmtId="0" fontId="3" fillId="0" borderId="3" xfId="0" applyFont="1" applyBorder="1"/>
    <xf numFmtId="0" fontId="3" fillId="0" borderId="5" xfId="0" applyFont="1" applyBorder="1"/>
    <xf numFmtId="14" fontId="0" fillId="0" borderId="9" xfId="0" applyNumberFormat="1" applyBorder="1"/>
    <xf numFmtId="14" fontId="0" fillId="2" borderId="2" xfId="0" applyNumberFormat="1" applyFill="1" applyBorder="1"/>
    <xf numFmtId="14" fontId="3" fillId="0" borderId="1" xfId="0" applyNumberFormat="1" applyFont="1" applyBorder="1"/>
    <xf numFmtId="0" fontId="3" fillId="0" borderId="2" xfId="0" applyFont="1" applyBorder="1"/>
    <xf numFmtId="164" fontId="3" fillId="0" borderId="1" xfId="0" applyNumberFormat="1" applyFont="1" applyBorder="1"/>
    <xf numFmtId="0" fontId="0" fillId="3" borderId="1" xfId="0" applyFill="1" applyBorder="1"/>
    <xf numFmtId="0" fontId="0" fillId="3" borderId="2" xfId="0" applyFill="1" applyBorder="1"/>
    <xf numFmtId="164" fontId="0" fillId="3" borderId="1" xfId="0" applyNumberFormat="1" applyFill="1" applyBorder="1"/>
    <xf numFmtId="0" fontId="5" fillId="0" borderId="1" xfId="0" applyFont="1" applyBorder="1"/>
    <xf numFmtId="0" fontId="5" fillId="0" borderId="2" xfId="0" applyFont="1" applyBorder="1"/>
    <xf numFmtId="164" fontId="5" fillId="0" borderId="1" xfId="0" applyNumberFormat="1" applyFont="1" applyBorder="1"/>
    <xf numFmtId="164" fontId="5" fillId="0" borderId="2" xfId="0" applyNumberFormat="1" applyFont="1" applyBorder="1"/>
    <xf numFmtId="14" fontId="5" fillId="0" borderId="1" xfId="0" applyNumberFormat="1" applyFont="1" applyBorder="1"/>
    <xf numFmtId="0" fontId="2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opLeftCell="A7" workbookViewId="0">
      <selection activeCell="M26" sqref="M26"/>
    </sheetView>
  </sheetViews>
  <sheetFormatPr baseColWidth="10" defaultRowHeight="15" x14ac:dyDescent="0.25"/>
  <cols>
    <col min="1" max="1" width="13.140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8" width="11.5703125" style="1" bestFit="1" customWidth="1"/>
    <col min="9" max="9" width="11.5703125" style="1" customWidth="1"/>
    <col min="10" max="10" width="18.5703125" customWidth="1"/>
    <col min="11" max="11" width="8.85546875" customWidth="1"/>
    <col min="12" max="12" width="8.42578125" customWidth="1"/>
  </cols>
  <sheetData>
    <row r="1" spans="1:12" ht="27" thickBot="1" x14ac:dyDescent="0.45">
      <c r="A1" s="49" t="s">
        <v>7</v>
      </c>
      <c r="B1" s="49"/>
      <c r="C1" s="49"/>
      <c r="D1" s="49"/>
      <c r="E1" s="49"/>
      <c r="F1" s="49"/>
      <c r="G1" s="49"/>
      <c r="H1" s="15">
        <v>2024</v>
      </c>
      <c r="I1" s="15"/>
      <c r="J1" s="14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48" t="s">
        <v>3</v>
      </c>
      <c r="F2" s="48"/>
      <c r="G2" s="48"/>
      <c r="H2" s="10" t="s">
        <v>4</v>
      </c>
      <c r="I2" s="16" t="s">
        <v>19</v>
      </c>
      <c r="J2" s="29" t="s">
        <v>5</v>
      </c>
      <c r="K2" s="33" t="s">
        <v>20</v>
      </c>
      <c r="L2" s="34" t="s">
        <v>21</v>
      </c>
    </row>
    <row r="3" spans="1:12" x14ac:dyDescent="0.25">
      <c r="A3" s="5">
        <v>45297</v>
      </c>
      <c r="B3" s="6" t="s">
        <v>28</v>
      </c>
      <c r="C3" s="6">
        <v>1</v>
      </c>
      <c r="D3" s="6">
        <v>64</v>
      </c>
      <c r="E3" s="6">
        <v>2</v>
      </c>
      <c r="F3" s="6">
        <v>52</v>
      </c>
      <c r="G3" s="6">
        <f>SUM(E3*60+F3)</f>
        <v>172</v>
      </c>
      <c r="H3" s="7">
        <f>SUM(D3/G3*60)</f>
        <v>22.325581395348838</v>
      </c>
      <c r="I3" s="7">
        <v>282</v>
      </c>
      <c r="J3" s="30"/>
      <c r="K3" s="6"/>
      <c r="L3" s="6">
        <v>64</v>
      </c>
    </row>
    <row r="4" spans="1:12" x14ac:dyDescent="0.25">
      <c r="A4" s="4">
        <v>45300</v>
      </c>
      <c r="B4" s="2" t="s">
        <v>30</v>
      </c>
      <c r="C4" s="6">
        <v>2</v>
      </c>
      <c r="D4" s="2">
        <v>81</v>
      </c>
      <c r="E4" s="2">
        <v>3</v>
      </c>
      <c r="F4" s="2">
        <v>22</v>
      </c>
      <c r="G4" s="2">
        <f t="shared" ref="G4:G23" si="0">SUM(E4*60+F4)</f>
        <v>202</v>
      </c>
      <c r="H4" s="3">
        <f t="shared" ref="H4:H23" si="1">SUM(D4/G4*60)</f>
        <v>24.059405940594061</v>
      </c>
      <c r="I4" s="7">
        <v>306</v>
      </c>
      <c r="J4" s="30"/>
      <c r="K4" s="2"/>
      <c r="L4" s="2">
        <v>81</v>
      </c>
    </row>
    <row r="5" spans="1:12" x14ac:dyDescent="0.25">
      <c r="A5" s="4">
        <v>45302</v>
      </c>
      <c r="B5" s="2" t="s">
        <v>29</v>
      </c>
      <c r="C5" s="6">
        <v>3</v>
      </c>
      <c r="D5" s="2">
        <v>81</v>
      </c>
      <c r="E5" s="2">
        <v>3</v>
      </c>
      <c r="F5" s="2">
        <v>22</v>
      </c>
      <c r="G5" s="2">
        <f t="shared" si="0"/>
        <v>202</v>
      </c>
      <c r="H5" s="3">
        <f t="shared" si="1"/>
        <v>24.059405940594061</v>
      </c>
      <c r="I5" s="3">
        <v>306</v>
      </c>
      <c r="J5" s="31"/>
      <c r="K5" s="2"/>
      <c r="L5" s="2">
        <v>81</v>
      </c>
    </row>
    <row r="6" spans="1:12" x14ac:dyDescent="0.25">
      <c r="A6" s="4">
        <v>45307</v>
      </c>
      <c r="B6" s="2" t="s">
        <v>31</v>
      </c>
      <c r="C6" s="6">
        <v>4</v>
      </c>
      <c r="D6" s="2">
        <v>61</v>
      </c>
      <c r="E6" s="2">
        <v>2</v>
      </c>
      <c r="F6" s="2">
        <v>37</v>
      </c>
      <c r="G6" s="2">
        <f t="shared" si="0"/>
        <v>157</v>
      </c>
      <c r="H6" s="3">
        <f t="shared" si="1"/>
        <v>23.312101910828027</v>
      </c>
      <c r="I6" s="3">
        <v>322</v>
      </c>
      <c r="J6" s="30"/>
      <c r="K6" s="2"/>
      <c r="L6" s="2">
        <v>61</v>
      </c>
    </row>
    <row r="7" spans="1:12" x14ac:dyDescent="0.25">
      <c r="A7" s="4">
        <v>45309</v>
      </c>
      <c r="B7" s="2" t="s">
        <v>32</v>
      </c>
      <c r="C7" s="6">
        <v>5</v>
      </c>
      <c r="D7" s="2">
        <v>82</v>
      </c>
      <c r="E7" s="2">
        <v>3</v>
      </c>
      <c r="F7" s="2">
        <v>24</v>
      </c>
      <c r="G7" s="2">
        <f t="shared" si="0"/>
        <v>204</v>
      </c>
      <c r="H7" s="3">
        <f t="shared" si="1"/>
        <v>24.117647058823529</v>
      </c>
      <c r="I7" s="3">
        <v>322</v>
      </c>
      <c r="J7" s="30"/>
      <c r="K7" s="2"/>
      <c r="L7" s="2">
        <v>82</v>
      </c>
    </row>
    <row r="8" spans="1:12" x14ac:dyDescent="0.25">
      <c r="A8" s="4">
        <v>45314</v>
      </c>
      <c r="B8" s="2" t="s">
        <v>33</v>
      </c>
      <c r="C8" s="6">
        <v>6</v>
      </c>
      <c r="D8" s="2">
        <v>83</v>
      </c>
      <c r="E8" s="2">
        <v>3</v>
      </c>
      <c r="F8" s="2">
        <v>23</v>
      </c>
      <c r="G8" s="2">
        <f t="shared" si="0"/>
        <v>203</v>
      </c>
      <c r="H8" s="3">
        <f t="shared" si="1"/>
        <v>24.532019704433498</v>
      </c>
      <c r="I8" s="3">
        <v>465</v>
      </c>
      <c r="J8" s="32"/>
      <c r="K8" s="2"/>
      <c r="L8" s="2">
        <v>83</v>
      </c>
    </row>
    <row r="9" spans="1:12" x14ac:dyDescent="0.25">
      <c r="A9" s="4">
        <v>45316</v>
      </c>
      <c r="B9" s="21" t="s">
        <v>34</v>
      </c>
      <c r="C9" s="6">
        <v>7</v>
      </c>
      <c r="D9" s="2">
        <v>79</v>
      </c>
      <c r="E9" s="2">
        <v>3</v>
      </c>
      <c r="F9" s="2">
        <v>19</v>
      </c>
      <c r="G9" s="2">
        <f t="shared" si="0"/>
        <v>199</v>
      </c>
      <c r="H9" s="3">
        <f t="shared" si="1"/>
        <v>23.819095477386934</v>
      </c>
      <c r="I9" s="3">
        <v>382</v>
      </c>
      <c r="J9" s="32"/>
      <c r="K9" s="19"/>
      <c r="L9" s="2">
        <v>79</v>
      </c>
    </row>
    <row r="10" spans="1:12" x14ac:dyDescent="0.25">
      <c r="A10" s="4">
        <v>45318</v>
      </c>
      <c r="B10" s="2" t="s">
        <v>35</v>
      </c>
      <c r="C10" s="6">
        <v>8</v>
      </c>
      <c r="D10" s="2">
        <v>69</v>
      </c>
      <c r="E10" s="2">
        <v>3</v>
      </c>
      <c r="F10" s="2">
        <v>2</v>
      </c>
      <c r="G10" s="2">
        <f t="shared" si="0"/>
        <v>182</v>
      </c>
      <c r="H10" s="3">
        <f t="shared" si="1"/>
        <v>22.747252747252745</v>
      </c>
      <c r="I10" s="7">
        <v>389</v>
      </c>
      <c r="J10" s="32"/>
      <c r="K10" s="2"/>
      <c r="L10" s="2">
        <v>69</v>
      </c>
    </row>
    <row r="11" spans="1:12" x14ac:dyDescent="0.25">
      <c r="A11" s="4">
        <v>45321</v>
      </c>
      <c r="B11" s="2" t="s">
        <v>36</v>
      </c>
      <c r="C11" s="6">
        <v>9</v>
      </c>
      <c r="D11" s="2">
        <v>80</v>
      </c>
      <c r="E11" s="2">
        <v>3</v>
      </c>
      <c r="F11" s="2">
        <v>21</v>
      </c>
      <c r="G11" s="2">
        <f t="shared" si="0"/>
        <v>201</v>
      </c>
      <c r="H11" s="3">
        <f t="shared" si="1"/>
        <v>23.880597014925375</v>
      </c>
      <c r="I11" s="3">
        <v>470</v>
      </c>
      <c r="J11" s="30"/>
      <c r="K11" s="2"/>
      <c r="L11" s="2">
        <v>80</v>
      </c>
    </row>
    <row r="12" spans="1:12" x14ac:dyDescent="0.25">
      <c r="A12" s="4">
        <v>45322</v>
      </c>
      <c r="B12" s="2" t="s">
        <v>37</v>
      </c>
      <c r="C12" s="6">
        <v>10</v>
      </c>
      <c r="D12" s="2">
        <v>24</v>
      </c>
      <c r="E12" s="2">
        <v>1</v>
      </c>
      <c r="F12" s="2">
        <v>22</v>
      </c>
      <c r="G12" s="2">
        <f t="shared" si="0"/>
        <v>82</v>
      </c>
      <c r="H12" s="3">
        <f t="shared" si="1"/>
        <v>17.560975609756095</v>
      </c>
      <c r="I12" s="3">
        <v>40</v>
      </c>
      <c r="J12" s="32"/>
      <c r="K12" s="2"/>
      <c r="L12" s="2">
        <v>24</v>
      </c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3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3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3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3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3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3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3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3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3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3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32"/>
      <c r="K23" s="2"/>
      <c r="L23" s="2"/>
    </row>
    <row r="24" spans="1:12" x14ac:dyDescent="0.25">
      <c r="D24">
        <f>SUM(D3:D23)</f>
        <v>704</v>
      </c>
      <c r="I24" s="1">
        <f>SUM(I3:I23)</f>
        <v>3284</v>
      </c>
      <c r="K24">
        <f>SUM(K3:K23)</f>
        <v>0</v>
      </c>
      <c r="L24">
        <f>SUM(L3:L23)</f>
        <v>704</v>
      </c>
    </row>
    <row r="25" spans="1:12" x14ac:dyDescent="0.25">
      <c r="A25" t="s">
        <v>25</v>
      </c>
      <c r="B25">
        <f>SUM(D24+0)</f>
        <v>704</v>
      </c>
      <c r="H25" s="1">
        <f>SUM(I24+0)</f>
        <v>3284</v>
      </c>
      <c r="K25">
        <f>SUM(K24)</f>
        <v>0</v>
      </c>
      <c r="L25">
        <f>SUM(L24)</f>
        <v>704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v>2920</v>
      </c>
      <c r="L27">
        <v>6043</v>
      </c>
    </row>
    <row r="28" spans="1:12" x14ac:dyDescent="0.25">
      <c r="J28" t="s">
        <v>26</v>
      </c>
      <c r="K28">
        <v>7538</v>
      </c>
      <c r="L28">
        <v>3488</v>
      </c>
    </row>
    <row r="29" spans="1:12" x14ac:dyDescent="0.25">
      <c r="J29" t="s">
        <v>27</v>
      </c>
    </row>
    <row r="30" spans="1:12" x14ac:dyDescent="0.25">
      <c r="J30" t="s">
        <v>23</v>
      </c>
      <c r="K30" s="1">
        <f>SUM(K25:K28)</f>
        <v>12301</v>
      </c>
      <c r="L30" s="1">
        <f>SUM(L25:L28)</f>
        <v>19923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workbookViewId="0">
      <selection activeCell="L30" sqref="L30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2" width="8.85546875" customWidth="1"/>
  </cols>
  <sheetData>
    <row r="1" spans="1:12" ht="27" thickBot="1" x14ac:dyDescent="0.45">
      <c r="A1" s="49" t="s">
        <v>8</v>
      </c>
      <c r="B1" s="49"/>
      <c r="C1" s="49"/>
      <c r="D1" s="49"/>
      <c r="E1" s="49"/>
      <c r="F1" s="49"/>
      <c r="G1" s="49"/>
      <c r="H1" s="13">
        <f>SUM(Janv!H1)</f>
        <v>2024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48" t="s">
        <v>3</v>
      </c>
      <c r="F2" s="48"/>
      <c r="G2" s="48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45323</v>
      </c>
      <c r="B3" s="6" t="s">
        <v>38</v>
      </c>
      <c r="C3" s="6">
        <v>1</v>
      </c>
      <c r="D3" s="6">
        <v>89</v>
      </c>
      <c r="E3" s="6">
        <v>3</v>
      </c>
      <c r="F3" s="6">
        <v>48</v>
      </c>
      <c r="G3" s="6">
        <f>SUM(E3*60+F3)</f>
        <v>228</v>
      </c>
      <c r="H3" s="7">
        <f>SUM(D3/G3*60)</f>
        <v>23.421052631578945</v>
      </c>
      <c r="I3" s="7">
        <v>348</v>
      </c>
      <c r="J3" s="6"/>
      <c r="K3" s="6"/>
      <c r="L3" s="6">
        <v>89</v>
      </c>
    </row>
    <row r="4" spans="1:12" x14ac:dyDescent="0.25">
      <c r="A4" s="4">
        <v>45328</v>
      </c>
      <c r="B4" s="2" t="s">
        <v>39</v>
      </c>
      <c r="C4" s="6">
        <v>2</v>
      </c>
      <c r="D4" s="2">
        <v>89</v>
      </c>
      <c r="E4" s="2">
        <v>3</v>
      </c>
      <c r="F4" s="2">
        <v>51</v>
      </c>
      <c r="G4" s="2">
        <f t="shared" ref="G4:G23" si="0">SUM(E4*60+F4)</f>
        <v>231</v>
      </c>
      <c r="H4" s="3">
        <f t="shared" ref="H4:H23" si="1">SUM(D4/G4*60)</f>
        <v>23.116883116883116</v>
      </c>
      <c r="I4" s="7">
        <v>550</v>
      </c>
      <c r="J4" s="2"/>
      <c r="K4" s="2"/>
      <c r="L4" s="2">
        <v>89</v>
      </c>
    </row>
    <row r="5" spans="1:12" x14ac:dyDescent="0.25">
      <c r="A5" s="4">
        <v>45335</v>
      </c>
      <c r="B5" s="2" t="s">
        <v>40</v>
      </c>
      <c r="C5" s="6">
        <v>3</v>
      </c>
      <c r="D5" s="2">
        <v>93</v>
      </c>
      <c r="E5" s="2">
        <v>3</v>
      </c>
      <c r="F5" s="2">
        <v>59</v>
      </c>
      <c r="G5" s="2">
        <f t="shared" si="0"/>
        <v>239</v>
      </c>
      <c r="H5" s="3">
        <f t="shared" si="1"/>
        <v>23.347280334728033</v>
      </c>
      <c r="I5" s="3">
        <v>560</v>
      </c>
      <c r="J5" s="2"/>
      <c r="K5" s="2"/>
      <c r="L5" s="2">
        <v>93</v>
      </c>
    </row>
    <row r="6" spans="1:12" x14ac:dyDescent="0.25">
      <c r="A6" s="4">
        <v>45337</v>
      </c>
      <c r="B6" s="2" t="s">
        <v>41</v>
      </c>
      <c r="C6" s="6">
        <v>4</v>
      </c>
      <c r="D6" s="2">
        <v>91</v>
      </c>
      <c r="E6" s="2">
        <v>3</v>
      </c>
      <c r="F6" s="2">
        <v>55</v>
      </c>
      <c r="G6" s="2">
        <f t="shared" si="0"/>
        <v>235</v>
      </c>
      <c r="H6" s="3">
        <f t="shared" si="1"/>
        <v>23.23404255319149</v>
      </c>
      <c r="I6" s="3">
        <v>401</v>
      </c>
      <c r="J6" s="2"/>
      <c r="K6" s="2"/>
      <c r="L6" s="2">
        <v>91</v>
      </c>
    </row>
    <row r="7" spans="1:12" x14ac:dyDescent="0.25">
      <c r="A7" s="4">
        <v>45339</v>
      </c>
      <c r="B7" s="2" t="s">
        <v>42</v>
      </c>
      <c r="C7" s="6">
        <v>5</v>
      </c>
      <c r="D7" s="2">
        <v>72</v>
      </c>
      <c r="E7" s="2">
        <v>3</v>
      </c>
      <c r="F7" s="2">
        <v>2</v>
      </c>
      <c r="G7" s="2">
        <f t="shared" si="0"/>
        <v>182</v>
      </c>
      <c r="H7" s="3">
        <f t="shared" si="1"/>
        <v>23.736263736263734</v>
      </c>
      <c r="I7" s="3">
        <v>418</v>
      </c>
      <c r="J7" s="6"/>
      <c r="K7" s="2">
        <v>72</v>
      </c>
      <c r="L7" s="2"/>
    </row>
    <row r="8" spans="1:12" x14ac:dyDescent="0.25">
      <c r="A8" s="4">
        <v>45342</v>
      </c>
      <c r="B8" s="2" t="s">
        <v>43</v>
      </c>
      <c r="C8" s="6">
        <v>6</v>
      </c>
      <c r="D8" s="2">
        <v>100</v>
      </c>
      <c r="E8" s="2">
        <v>4</v>
      </c>
      <c r="F8" s="2">
        <v>15</v>
      </c>
      <c r="G8" s="2">
        <f t="shared" si="0"/>
        <v>255</v>
      </c>
      <c r="H8" s="3">
        <f t="shared" si="1"/>
        <v>23.52941176470588</v>
      </c>
      <c r="I8" s="3">
        <v>446</v>
      </c>
      <c r="J8" s="2"/>
      <c r="K8" s="2"/>
      <c r="L8" s="2">
        <v>100</v>
      </c>
    </row>
    <row r="9" spans="1:12" x14ac:dyDescent="0.25">
      <c r="A9" s="4">
        <v>45349</v>
      </c>
      <c r="B9" s="2" t="s">
        <v>44</v>
      </c>
      <c r="C9" s="6">
        <v>7</v>
      </c>
      <c r="D9" s="2">
        <v>90</v>
      </c>
      <c r="E9" s="2">
        <v>4</v>
      </c>
      <c r="F9" s="2">
        <v>0</v>
      </c>
      <c r="G9" s="2">
        <f t="shared" si="0"/>
        <v>240</v>
      </c>
      <c r="H9" s="3">
        <f t="shared" si="1"/>
        <v>22.5</v>
      </c>
      <c r="I9" s="3">
        <v>486</v>
      </c>
      <c r="J9" s="2"/>
      <c r="K9" s="19"/>
      <c r="L9" s="2">
        <v>90</v>
      </c>
    </row>
    <row r="10" spans="1:12" x14ac:dyDescent="0.25">
      <c r="A10" s="4"/>
      <c r="B10" s="2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624</v>
      </c>
      <c r="I24" s="1">
        <f>SUM(I3:I23)</f>
        <v>3209</v>
      </c>
      <c r="K24">
        <f>SUM(K3:K23)</f>
        <v>72</v>
      </c>
      <c r="L24">
        <f>SUM(L3:L23)</f>
        <v>552</v>
      </c>
    </row>
    <row r="25" spans="1:12" x14ac:dyDescent="0.25">
      <c r="A25" t="s">
        <v>25</v>
      </c>
      <c r="B25">
        <f>SUM(Janv!B25+Fév!D24)</f>
        <v>1328</v>
      </c>
      <c r="H25" s="1">
        <f>SUM(Janv!H25+Fév!I24)</f>
        <v>6493</v>
      </c>
      <c r="K25">
        <f>SUM(Janv!K24+Fév!K24)</f>
        <v>72</v>
      </c>
      <c r="L25">
        <f>SUM(Janv!L24+Fév!L24)</f>
        <v>1256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>SUM(Janv!K27)</f>
        <v>2920</v>
      </c>
      <c r="L27">
        <f>SUM(Janv!L27)</f>
        <v>6043</v>
      </c>
    </row>
    <row r="28" spans="1:12" x14ac:dyDescent="0.25">
      <c r="J28" t="s">
        <v>26</v>
      </c>
      <c r="K28">
        <v>7538</v>
      </c>
      <c r="L28">
        <v>3488</v>
      </c>
    </row>
    <row r="29" spans="1:12" x14ac:dyDescent="0.25">
      <c r="J29" t="s">
        <v>27</v>
      </c>
    </row>
    <row r="30" spans="1:12" x14ac:dyDescent="0.25">
      <c r="J30" t="s">
        <v>23</v>
      </c>
      <c r="K30" s="1">
        <f>SUM(K25:K28)</f>
        <v>12373</v>
      </c>
      <c r="L30" s="1">
        <f>SUM(L25:L28)</f>
        <v>20475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workbookViewId="0">
      <selection activeCell="F33" sqref="F33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2" width="8.85546875" customWidth="1"/>
  </cols>
  <sheetData>
    <row r="1" spans="1:12" ht="27" thickBot="1" x14ac:dyDescent="0.45">
      <c r="A1" s="49" t="s">
        <v>9</v>
      </c>
      <c r="B1" s="49"/>
      <c r="C1" s="49"/>
      <c r="D1" s="49"/>
      <c r="E1" s="49"/>
      <c r="F1" s="49"/>
      <c r="G1" s="49"/>
      <c r="H1" s="13">
        <f>SUM(Janv!H1)</f>
        <v>2024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48" t="s">
        <v>3</v>
      </c>
      <c r="F2" s="48"/>
      <c r="G2" s="48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45358</v>
      </c>
      <c r="B3" s="6" t="s">
        <v>45</v>
      </c>
      <c r="C3" s="6">
        <v>1</v>
      </c>
      <c r="D3" s="6">
        <v>85</v>
      </c>
      <c r="E3" s="6">
        <v>3</v>
      </c>
      <c r="F3" s="6">
        <v>35</v>
      </c>
      <c r="G3" s="6">
        <f>SUM(E3*60+F3)</f>
        <v>215</v>
      </c>
      <c r="H3" s="7">
        <f>SUM(D3/G3*60)</f>
        <v>23.720930232558139</v>
      </c>
      <c r="I3" s="7">
        <v>594</v>
      </c>
      <c r="J3" s="6"/>
      <c r="K3" s="6"/>
      <c r="L3" s="6">
        <v>85</v>
      </c>
    </row>
    <row r="4" spans="1:12" x14ac:dyDescent="0.25">
      <c r="A4" s="4">
        <v>45365</v>
      </c>
      <c r="B4" s="6" t="s">
        <v>46</v>
      </c>
      <c r="C4" s="6">
        <v>2</v>
      </c>
      <c r="D4" s="2">
        <v>92</v>
      </c>
      <c r="E4" s="2">
        <v>3</v>
      </c>
      <c r="F4" s="2">
        <v>58</v>
      </c>
      <c r="G4" s="2">
        <f t="shared" ref="G4:G23" si="0">SUM(E4*60+F4)</f>
        <v>238</v>
      </c>
      <c r="H4" s="3">
        <f t="shared" ref="H4:H23" si="1">SUM(D4/G4*60)</f>
        <v>23.193277310924369</v>
      </c>
      <c r="I4" s="7">
        <v>494</v>
      </c>
      <c r="J4" s="2"/>
      <c r="K4" s="2"/>
      <c r="L4" s="2">
        <v>92</v>
      </c>
    </row>
    <row r="5" spans="1:12" x14ac:dyDescent="0.25">
      <c r="A5" s="4">
        <v>45370</v>
      </c>
      <c r="B5" s="2" t="s">
        <v>47</v>
      </c>
      <c r="C5" s="6">
        <v>3</v>
      </c>
      <c r="D5" s="2">
        <v>101</v>
      </c>
      <c r="E5" s="2">
        <v>3</v>
      </c>
      <c r="F5" s="2">
        <v>53</v>
      </c>
      <c r="G5" s="2">
        <f t="shared" si="0"/>
        <v>233</v>
      </c>
      <c r="H5" s="3">
        <f t="shared" si="1"/>
        <v>26.008583690987123</v>
      </c>
      <c r="I5" s="3">
        <v>411</v>
      </c>
      <c r="J5" s="2"/>
      <c r="K5" s="2"/>
      <c r="L5" s="2">
        <v>101</v>
      </c>
    </row>
    <row r="6" spans="1:12" x14ac:dyDescent="0.25">
      <c r="A6" s="4">
        <v>45372</v>
      </c>
      <c r="B6" s="2" t="s">
        <v>48</v>
      </c>
      <c r="C6" s="6">
        <v>4</v>
      </c>
      <c r="D6" s="2">
        <v>93</v>
      </c>
      <c r="E6" s="2">
        <v>3</v>
      </c>
      <c r="F6" s="2">
        <v>48</v>
      </c>
      <c r="G6" s="2">
        <f t="shared" si="0"/>
        <v>228</v>
      </c>
      <c r="H6" s="3">
        <f t="shared" si="1"/>
        <v>24.473684210526315</v>
      </c>
      <c r="I6" s="3">
        <v>452</v>
      </c>
      <c r="J6" s="2"/>
      <c r="K6" s="2"/>
      <c r="L6" s="2">
        <v>93</v>
      </c>
    </row>
    <row r="7" spans="1:12" x14ac:dyDescent="0.25">
      <c r="A7" s="4">
        <v>45381</v>
      </c>
      <c r="B7" s="2" t="s">
        <v>49</v>
      </c>
      <c r="C7" s="6">
        <v>5</v>
      </c>
      <c r="D7" s="2">
        <v>73</v>
      </c>
      <c r="E7" s="2">
        <v>3</v>
      </c>
      <c r="F7" s="2">
        <v>14</v>
      </c>
      <c r="G7" s="2">
        <f t="shared" si="0"/>
        <v>194</v>
      </c>
      <c r="H7" s="3">
        <f t="shared" si="1"/>
        <v>22.577319587628864</v>
      </c>
      <c r="I7" s="3">
        <v>439</v>
      </c>
      <c r="J7" s="2"/>
      <c r="K7" s="2"/>
      <c r="L7" s="2">
        <v>73</v>
      </c>
    </row>
    <row r="8" spans="1:12" x14ac:dyDescent="0.25">
      <c r="A8" s="4"/>
      <c r="B8" s="2"/>
      <c r="C8" s="6">
        <v>6</v>
      </c>
      <c r="D8" s="2"/>
      <c r="E8" s="2"/>
      <c r="F8" s="2"/>
      <c r="G8" s="2">
        <f t="shared" si="0"/>
        <v>0</v>
      </c>
      <c r="H8" s="3" t="e">
        <f t="shared" si="1"/>
        <v>#DIV/0!</v>
      </c>
      <c r="I8" s="3"/>
      <c r="J8" s="2"/>
      <c r="K8" s="2"/>
      <c r="L8" s="2"/>
    </row>
    <row r="9" spans="1:12" x14ac:dyDescent="0.25">
      <c r="A9" s="4"/>
      <c r="B9" s="2"/>
      <c r="C9" s="6">
        <v>7</v>
      </c>
      <c r="D9" s="2"/>
      <c r="E9" s="2"/>
      <c r="F9" s="2"/>
      <c r="G9" s="2">
        <f t="shared" si="0"/>
        <v>0</v>
      </c>
      <c r="H9" s="3" t="e">
        <f t="shared" si="1"/>
        <v>#DIV/0!</v>
      </c>
      <c r="I9" s="3"/>
      <c r="J9" s="2"/>
      <c r="K9" s="2"/>
      <c r="L9" s="2"/>
    </row>
    <row r="10" spans="1:12" x14ac:dyDescent="0.25">
      <c r="A10" s="4"/>
      <c r="B10" s="2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6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444</v>
      </c>
      <c r="I24" s="1">
        <f>SUM(I3:I23)</f>
        <v>2390</v>
      </c>
      <c r="K24">
        <f>SUM(K3:K23)</f>
        <v>0</v>
      </c>
      <c r="L24">
        <f>SUM(L3:L23)</f>
        <v>444</v>
      </c>
    </row>
    <row r="25" spans="1:12" x14ac:dyDescent="0.25">
      <c r="A25" t="s">
        <v>25</v>
      </c>
      <c r="B25">
        <f>SUM(Fév!B25+Mar!D24)</f>
        <v>1772</v>
      </c>
      <c r="H25" s="1">
        <f>SUM(Fév!H25+Mar!I24)</f>
        <v>8883</v>
      </c>
      <c r="K25" t="b">
        <f>A414/3=SUM(Fév!K25+Mar!K24)</f>
        <v>0</v>
      </c>
      <c r="L25">
        <f>SUM(Fév!L25+Mar!L24)</f>
        <v>1700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>SUM(Janv!K27)</f>
        <v>2920</v>
      </c>
      <c r="L27">
        <f>SUM(Janv!L27)</f>
        <v>6043</v>
      </c>
    </row>
    <row r="28" spans="1:12" x14ac:dyDescent="0.25">
      <c r="J28" t="s">
        <v>26</v>
      </c>
      <c r="K28">
        <v>7538</v>
      </c>
      <c r="L28">
        <v>3488</v>
      </c>
    </row>
    <row r="29" spans="1:12" x14ac:dyDescent="0.25">
      <c r="J29" t="s">
        <v>27</v>
      </c>
    </row>
    <row r="30" spans="1:12" x14ac:dyDescent="0.25">
      <c r="J30" t="s">
        <v>23</v>
      </c>
      <c r="K30" s="1">
        <f>SUM(K25:K28)</f>
        <v>12301</v>
      </c>
      <c r="L30" s="1">
        <f>SUM(L25:L28)</f>
        <v>20919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"/>
  <sheetViews>
    <sheetView workbookViewId="0">
      <selection activeCell="K19" sqref="K19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8" width="11.42578125" style="1"/>
    <col min="9" max="9" width="7.85546875" style="1" customWidth="1"/>
    <col min="10" max="10" width="20.140625" customWidth="1"/>
    <col min="11" max="11" width="8.28515625" customWidth="1"/>
    <col min="12" max="12" width="8" customWidth="1"/>
  </cols>
  <sheetData>
    <row r="1" spans="1:12" ht="27" thickBot="1" x14ac:dyDescent="0.45">
      <c r="A1" s="49" t="s">
        <v>10</v>
      </c>
      <c r="B1" s="49"/>
      <c r="C1" s="49"/>
      <c r="D1" s="49"/>
      <c r="E1" s="49"/>
      <c r="F1" s="49"/>
      <c r="G1" s="49"/>
      <c r="H1" s="13">
        <f>SUM(Janv!H1)</f>
        <v>2024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48" t="s">
        <v>3</v>
      </c>
      <c r="F2" s="48"/>
      <c r="G2" s="48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45384</v>
      </c>
      <c r="B3" s="6" t="s">
        <v>50</v>
      </c>
      <c r="C3" s="6">
        <v>1</v>
      </c>
      <c r="D3" s="6">
        <v>80</v>
      </c>
      <c r="E3" s="6">
        <v>3</v>
      </c>
      <c r="F3" s="6">
        <v>42</v>
      </c>
      <c r="G3" s="6">
        <f>SUM(E3*60+F3)</f>
        <v>222</v>
      </c>
      <c r="H3" s="7">
        <f>SUM(D3/G3*60)</f>
        <v>21.621621621621621</v>
      </c>
      <c r="I3" s="7">
        <v>551</v>
      </c>
      <c r="J3" s="6"/>
      <c r="K3" s="6"/>
      <c r="L3" s="6">
        <v>80</v>
      </c>
    </row>
    <row r="4" spans="1:12" x14ac:dyDescent="0.25">
      <c r="A4" s="4">
        <v>45388</v>
      </c>
      <c r="B4" s="2" t="s">
        <v>51</v>
      </c>
      <c r="C4" s="6">
        <v>2</v>
      </c>
      <c r="D4" s="2">
        <v>201</v>
      </c>
      <c r="E4" s="2">
        <v>8</v>
      </c>
      <c r="F4" s="2">
        <v>1</v>
      </c>
      <c r="G4" s="2">
        <f t="shared" ref="G4:G23" si="0">SUM(E4*60+F4)</f>
        <v>481</v>
      </c>
      <c r="H4" s="3">
        <f t="shared" ref="H4:H23" si="1">SUM(D4/G4*60)</f>
        <v>25.072765072765073</v>
      </c>
      <c r="I4" s="7">
        <v>1555</v>
      </c>
      <c r="J4" s="2"/>
      <c r="K4" s="2">
        <v>201</v>
      </c>
      <c r="L4" s="2"/>
    </row>
    <row r="5" spans="1:12" x14ac:dyDescent="0.25">
      <c r="A5" s="4">
        <v>45392</v>
      </c>
      <c r="B5" s="2" t="s">
        <v>52</v>
      </c>
      <c r="C5" s="6">
        <v>3</v>
      </c>
      <c r="D5" s="2">
        <v>79</v>
      </c>
      <c r="E5" s="2">
        <v>3</v>
      </c>
      <c r="F5" s="2">
        <v>6</v>
      </c>
      <c r="G5" s="2">
        <f t="shared" si="0"/>
        <v>186</v>
      </c>
      <c r="H5" s="3">
        <f t="shared" si="1"/>
        <v>25.483870967741936</v>
      </c>
      <c r="I5" s="3">
        <v>520</v>
      </c>
      <c r="J5" s="2"/>
      <c r="K5" s="2"/>
      <c r="L5" s="2">
        <v>79</v>
      </c>
    </row>
    <row r="6" spans="1:12" x14ac:dyDescent="0.25">
      <c r="A6" s="4">
        <v>45395</v>
      </c>
      <c r="B6" s="2" t="s">
        <v>53</v>
      </c>
      <c r="C6" s="6">
        <v>4</v>
      </c>
      <c r="D6" s="2">
        <v>89</v>
      </c>
      <c r="E6" s="2">
        <v>3</v>
      </c>
      <c r="F6" s="2">
        <v>59</v>
      </c>
      <c r="G6" s="2">
        <f t="shared" si="0"/>
        <v>239</v>
      </c>
      <c r="H6" s="3">
        <f t="shared" si="1"/>
        <v>22.343096234309623</v>
      </c>
      <c r="I6" s="3">
        <v>575</v>
      </c>
      <c r="J6" s="2"/>
      <c r="K6" s="2"/>
      <c r="L6" s="2">
        <v>89</v>
      </c>
    </row>
    <row r="7" spans="1:12" x14ac:dyDescent="0.25">
      <c r="A7" s="4">
        <v>45400</v>
      </c>
      <c r="B7" s="2" t="s">
        <v>54</v>
      </c>
      <c r="C7" s="6">
        <v>5</v>
      </c>
      <c r="D7" s="2">
        <v>83</v>
      </c>
      <c r="E7" s="2">
        <v>3</v>
      </c>
      <c r="F7" s="2">
        <v>35</v>
      </c>
      <c r="G7" s="2">
        <f t="shared" si="0"/>
        <v>215</v>
      </c>
      <c r="H7" s="3">
        <f t="shared" si="1"/>
        <v>23.162790697674421</v>
      </c>
      <c r="I7" s="3">
        <v>379</v>
      </c>
      <c r="J7" s="2"/>
      <c r="K7" s="2"/>
      <c r="L7" s="2">
        <v>83</v>
      </c>
    </row>
    <row r="8" spans="1:12" x14ac:dyDescent="0.25">
      <c r="A8" s="4">
        <v>45402</v>
      </c>
      <c r="B8" s="2" t="s">
        <v>55</v>
      </c>
      <c r="C8" s="6">
        <v>6</v>
      </c>
      <c r="D8" s="2">
        <v>83</v>
      </c>
      <c r="E8" s="2">
        <v>3</v>
      </c>
      <c r="F8" s="2">
        <v>32</v>
      </c>
      <c r="G8" s="2">
        <f t="shared" si="0"/>
        <v>212</v>
      </c>
      <c r="H8" s="3">
        <f t="shared" si="1"/>
        <v>23.490566037735849</v>
      </c>
      <c r="I8" s="3">
        <v>337</v>
      </c>
      <c r="J8" s="2"/>
      <c r="K8" s="2"/>
      <c r="L8" s="2">
        <v>83</v>
      </c>
    </row>
    <row r="9" spans="1:12" x14ac:dyDescent="0.25">
      <c r="A9" s="4">
        <v>45405</v>
      </c>
      <c r="B9" s="2" t="s">
        <v>56</v>
      </c>
      <c r="C9" s="6">
        <v>7</v>
      </c>
      <c r="D9" s="2">
        <v>89</v>
      </c>
      <c r="E9" s="2">
        <v>3</v>
      </c>
      <c r="F9" s="2">
        <v>52</v>
      </c>
      <c r="G9" s="2">
        <f t="shared" si="0"/>
        <v>232</v>
      </c>
      <c r="H9" s="3">
        <f t="shared" si="1"/>
        <v>23.017241379310345</v>
      </c>
      <c r="I9" s="3">
        <v>446</v>
      </c>
      <c r="J9" s="2"/>
      <c r="K9" s="2"/>
      <c r="L9" s="2">
        <v>89</v>
      </c>
    </row>
    <row r="10" spans="1:12" x14ac:dyDescent="0.25">
      <c r="A10" s="4">
        <v>45411</v>
      </c>
      <c r="B10" s="2" t="s">
        <v>57</v>
      </c>
      <c r="C10" s="6">
        <v>8</v>
      </c>
      <c r="D10" s="2">
        <v>10</v>
      </c>
      <c r="E10" s="2"/>
      <c r="F10" s="2">
        <v>26</v>
      </c>
      <c r="G10" s="2">
        <f t="shared" si="0"/>
        <v>26</v>
      </c>
      <c r="H10" s="3">
        <f t="shared" si="1"/>
        <v>23.076923076923077</v>
      </c>
      <c r="I10" s="7">
        <v>20</v>
      </c>
      <c r="J10" s="2"/>
      <c r="K10" s="2"/>
      <c r="L10" s="2">
        <v>10</v>
      </c>
    </row>
    <row r="11" spans="1:12" x14ac:dyDescent="0.25">
      <c r="A11" s="4">
        <v>45412</v>
      </c>
      <c r="B11" s="2" t="s">
        <v>58</v>
      </c>
      <c r="C11" s="6">
        <v>9</v>
      </c>
      <c r="D11" s="2">
        <v>97</v>
      </c>
      <c r="E11" s="2">
        <v>4</v>
      </c>
      <c r="F11" s="2">
        <v>17</v>
      </c>
      <c r="G11" s="2">
        <f t="shared" si="0"/>
        <v>257</v>
      </c>
      <c r="H11" s="3">
        <f t="shared" si="1"/>
        <v>22.645914396887157</v>
      </c>
      <c r="I11" s="3">
        <v>579</v>
      </c>
      <c r="J11" s="2"/>
      <c r="K11" s="2"/>
      <c r="L11" s="2">
        <v>97</v>
      </c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811</v>
      </c>
      <c r="I24" s="1">
        <f>SUM(I3:I23)</f>
        <v>4962</v>
      </c>
      <c r="K24">
        <f>SUM(K3:K23)</f>
        <v>201</v>
      </c>
      <c r="L24">
        <f>SUM(L3:L23)</f>
        <v>610</v>
      </c>
    </row>
    <row r="25" spans="1:12" x14ac:dyDescent="0.25">
      <c r="A25" t="s">
        <v>25</v>
      </c>
      <c r="B25">
        <f>SUM(Mar!B25+Avr!D24)</f>
        <v>2583</v>
      </c>
      <c r="H25" s="1">
        <f>SUM(Mar!H25+Avr!I24)</f>
        <v>13845</v>
      </c>
      <c r="K25">
        <f>SUM(Mar!K25+Avr!K24)</f>
        <v>201</v>
      </c>
      <c r="L25">
        <f>SUM(Mar!L25+Avr!L24)</f>
        <v>2310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>SUM(Janv!K27)</f>
        <v>2920</v>
      </c>
      <c r="L27">
        <f>SUM(Janv!L27)</f>
        <v>6043</v>
      </c>
    </row>
    <row r="28" spans="1:12" x14ac:dyDescent="0.25">
      <c r="J28" t="s">
        <v>26</v>
      </c>
      <c r="K28">
        <v>7538</v>
      </c>
      <c r="L28">
        <v>3488</v>
      </c>
    </row>
    <row r="29" spans="1:12" x14ac:dyDescent="0.25">
      <c r="J29" t="s">
        <v>27</v>
      </c>
    </row>
    <row r="30" spans="1:12" x14ac:dyDescent="0.25">
      <c r="J30" t="s">
        <v>23</v>
      </c>
      <c r="K30" s="1">
        <f>SUM(K25:K28)</f>
        <v>12502</v>
      </c>
      <c r="L30" s="1">
        <f>SUM(L25:L28)</f>
        <v>21529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howOutlineSymbols="0"/>
  </sheetPr>
  <dimension ref="A1:L30"/>
  <sheetViews>
    <sheetView showOutlineSymbols="0" workbookViewId="0">
      <selection activeCell="B15" sqref="B15"/>
    </sheetView>
  </sheetViews>
  <sheetFormatPr baseColWidth="10" defaultRowHeight="15" outlineLevelRow="1" outlineLevelCol="2" x14ac:dyDescent="0.25"/>
  <cols>
    <col min="1" max="1" width="12.42578125" customWidth="1"/>
    <col min="2" max="2" width="34.28515625" customWidth="1"/>
    <col min="3" max="3" width="4" customWidth="1"/>
    <col min="4" max="4" width="12" customWidth="1" outlineLevel="1"/>
    <col min="5" max="5" width="5.7109375" customWidth="1" outlineLevel="2"/>
    <col min="6" max="6" width="5.85546875" customWidth="1" outlineLevel="2"/>
    <col min="7" max="7" width="5.7109375" customWidth="1" outlineLevel="1"/>
    <col min="8" max="9" width="11.42578125" style="1"/>
    <col min="10" max="10" width="18.5703125" customWidth="1"/>
  </cols>
  <sheetData>
    <row r="1" spans="1:12" ht="27" thickBot="1" x14ac:dyDescent="0.45">
      <c r="A1" s="49" t="s">
        <v>11</v>
      </c>
      <c r="B1" s="49"/>
      <c r="C1" s="49"/>
      <c r="D1" s="49"/>
      <c r="E1" s="49"/>
      <c r="F1" s="49"/>
      <c r="G1" s="49"/>
      <c r="H1" s="13">
        <f>SUM(Janv!H1)</f>
        <v>2024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48" t="s">
        <v>3</v>
      </c>
      <c r="F2" s="48"/>
      <c r="G2" s="48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outlineLevel="1" x14ac:dyDescent="0.25">
      <c r="A3" s="5">
        <v>45419</v>
      </c>
      <c r="B3" s="6" t="s">
        <v>59</v>
      </c>
      <c r="C3" s="6">
        <v>1</v>
      </c>
      <c r="D3" s="6">
        <v>91.3</v>
      </c>
      <c r="E3" s="6">
        <v>44</v>
      </c>
      <c r="F3" s="6"/>
      <c r="G3" s="6">
        <f>SUM(E3*60+F3)</f>
        <v>2640</v>
      </c>
      <c r="H3" s="7">
        <f>SUM(D3/G3*60)</f>
        <v>2.0750000000000002</v>
      </c>
      <c r="I3" s="7">
        <v>519</v>
      </c>
      <c r="J3" s="6"/>
      <c r="K3" s="6"/>
      <c r="L3" s="6">
        <v>91</v>
      </c>
    </row>
    <row r="4" spans="1:12" outlineLevel="1" x14ac:dyDescent="0.25">
      <c r="A4" s="4">
        <v>45423</v>
      </c>
      <c r="B4" s="2" t="s">
        <v>60</v>
      </c>
      <c r="C4" s="6">
        <v>2</v>
      </c>
      <c r="D4" s="2">
        <v>78</v>
      </c>
      <c r="E4" s="2">
        <v>3</v>
      </c>
      <c r="F4" s="2">
        <v>27</v>
      </c>
      <c r="G4" s="2">
        <f t="shared" ref="G4:G23" si="0">SUM(E4*60+F4)</f>
        <v>207</v>
      </c>
      <c r="H4" s="3">
        <f t="shared" ref="H4:H23" si="1">SUM(D4/G4*60)</f>
        <v>22.608695652173914</v>
      </c>
      <c r="I4" s="7">
        <v>636</v>
      </c>
      <c r="J4" s="2"/>
      <c r="K4" s="2">
        <v>78</v>
      </c>
      <c r="L4" s="2"/>
    </row>
    <row r="5" spans="1:12" outlineLevel="1" x14ac:dyDescent="0.25">
      <c r="A5" s="4">
        <v>45435</v>
      </c>
      <c r="B5" t="s">
        <v>61</v>
      </c>
      <c r="C5" s="6">
        <v>3</v>
      </c>
      <c r="D5" s="2">
        <v>49</v>
      </c>
      <c r="E5" s="2">
        <v>2</v>
      </c>
      <c r="F5" s="2">
        <v>22</v>
      </c>
      <c r="G5" s="2">
        <f t="shared" si="0"/>
        <v>142</v>
      </c>
      <c r="H5" s="3">
        <f t="shared" si="1"/>
        <v>20.704225352112676</v>
      </c>
      <c r="I5" s="3">
        <v>307</v>
      </c>
      <c r="J5" s="2"/>
      <c r="K5" s="2"/>
      <c r="L5" s="2">
        <v>49</v>
      </c>
    </row>
    <row r="6" spans="1:12" outlineLevel="1" x14ac:dyDescent="0.25">
      <c r="A6" s="4">
        <v>45437</v>
      </c>
      <c r="B6" s="2" t="s">
        <v>62</v>
      </c>
      <c r="C6" s="6">
        <v>4</v>
      </c>
      <c r="D6" s="2">
        <v>73</v>
      </c>
      <c r="E6" s="2">
        <v>3</v>
      </c>
      <c r="F6" s="2">
        <v>27</v>
      </c>
      <c r="G6" s="2">
        <f t="shared" si="0"/>
        <v>207</v>
      </c>
      <c r="H6" s="3">
        <f t="shared" si="1"/>
        <v>21.159420289855074</v>
      </c>
      <c r="I6" s="3">
        <v>481</v>
      </c>
      <c r="J6" s="2"/>
      <c r="K6" s="2"/>
      <c r="L6" s="2">
        <v>73</v>
      </c>
    </row>
    <row r="7" spans="1:12" outlineLevel="1" x14ac:dyDescent="0.25">
      <c r="A7" s="4">
        <v>45624</v>
      </c>
      <c r="B7" s="2" t="s">
        <v>63</v>
      </c>
      <c r="C7" s="6">
        <v>5</v>
      </c>
      <c r="D7" s="2">
        <v>24</v>
      </c>
      <c r="E7" s="2"/>
      <c r="F7" s="2">
        <v>47</v>
      </c>
      <c r="G7" s="2">
        <f t="shared" si="0"/>
        <v>47</v>
      </c>
      <c r="H7" s="3">
        <f t="shared" si="1"/>
        <v>30.638297872340424</v>
      </c>
      <c r="I7" s="3">
        <v>71</v>
      </c>
      <c r="J7" s="2"/>
      <c r="K7" s="2"/>
      <c r="L7" s="2">
        <v>24</v>
      </c>
    </row>
    <row r="8" spans="1:12" outlineLevel="1" x14ac:dyDescent="0.25">
      <c r="A8" s="4"/>
      <c r="B8" s="2"/>
      <c r="C8" s="6">
        <v>6</v>
      </c>
      <c r="D8" s="2"/>
      <c r="E8" s="2"/>
      <c r="F8" s="2"/>
      <c r="G8" s="2">
        <f t="shared" si="0"/>
        <v>0</v>
      </c>
      <c r="H8" s="3" t="e">
        <f t="shared" si="1"/>
        <v>#DIV/0!</v>
      </c>
      <c r="I8" s="3"/>
      <c r="J8" s="2"/>
      <c r="K8" s="2"/>
      <c r="L8" s="2"/>
    </row>
    <row r="9" spans="1:12" outlineLevel="1" x14ac:dyDescent="0.25">
      <c r="A9" s="37"/>
      <c r="B9" s="17"/>
      <c r="C9" s="38">
        <v>7</v>
      </c>
      <c r="D9" s="17"/>
      <c r="E9" s="17"/>
      <c r="F9" s="17"/>
      <c r="G9" s="17">
        <f t="shared" si="0"/>
        <v>0</v>
      </c>
      <c r="H9" s="39" t="e">
        <f t="shared" si="1"/>
        <v>#DIV/0!</v>
      </c>
      <c r="I9" s="39"/>
      <c r="J9" s="2"/>
      <c r="K9" s="2"/>
      <c r="L9" s="2"/>
    </row>
    <row r="10" spans="1:12" outlineLevel="1" x14ac:dyDescent="0.25">
      <c r="A10" s="4"/>
      <c r="B10" s="2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K10" s="2"/>
      <c r="L10" s="2"/>
    </row>
    <row r="11" spans="1:12" outlineLevel="1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outlineLevel="1" x14ac:dyDescent="0.25">
      <c r="A12" s="4"/>
      <c r="B12" s="6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outlineLevel="1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outlineLevel="1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outlineLevel="1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outlineLevel="1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outlineLevel="1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outlineLevel="1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outlineLevel="1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outlineLevel="1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outlineLevel="1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outlineLevel="1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outlineLevel="1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315.3</v>
      </c>
      <c r="I24" s="1">
        <f>SUM(I3:I23)</f>
        <v>2014</v>
      </c>
      <c r="K24">
        <f>SUM(K3:K23)</f>
        <v>78</v>
      </c>
      <c r="L24">
        <f>SUM(L3:L23)</f>
        <v>237</v>
      </c>
    </row>
    <row r="25" spans="1:12" x14ac:dyDescent="0.25">
      <c r="A25" t="s">
        <v>25</v>
      </c>
      <c r="B25">
        <f>SUM(Avr!B25+Mai!D24)</f>
        <v>2898.3</v>
      </c>
      <c r="H25" s="1">
        <f>SUM(Avr!H25+Mai!I24)</f>
        <v>15859</v>
      </c>
      <c r="K25">
        <f>SUM(Avr!K25+Mai!K24)</f>
        <v>279</v>
      </c>
      <c r="L25">
        <f>SUM(Avr!L25+Mai!L24)</f>
        <v>2547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>SUM(Janv!K27)</f>
        <v>2920</v>
      </c>
      <c r="L27">
        <f>SUM(Janv!L27)</f>
        <v>6043</v>
      </c>
    </row>
    <row r="28" spans="1:12" x14ac:dyDescent="0.25">
      <c r="J28" t="s">
        <v>26</v>
      </c>
      <c r="K28">
        <v>7538</v>
      </c>
      <c r="L28">
        <v>3488</v>
      </c>
    </row>
    <row r="29" spans="1:12" x14ac:dyDescent="0.25">
      <c r="J29" t="s">
        <v>27</v>
      </c>
    </row>
    <row r="30" spans="1:12" x14ac:dyDescent="0.25">
      <c r="J30" t="s">
        <v>23</v>
      </c>
      <c r="K30" s="1">
        <f>SUM(K25:K28)</f>
        <v>12580</v>
      </c>
      <c r="L30" s="1">
        <f>SUM(L25:L28)</f>
        <v>21766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0"/>
  <sheetViews>
    <sheetView workbookViewId="0">
      <selection activeCell="B25" sqref="B25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8" customWidth="1"/>
  </cols>
  <sheetData>
    <row r="1" spans="1:12" ht="27" thickBot="1" x14ac:dyDescent="0.45">
      <c r="A1" s="49" t="s">
        <v>12</v>
      </c>
      <c r="B1" s="49"/>
      <c r="C1" s="49"/>
      <c r="D1" s="49"/>
      <c r="E1" s="49"/>
      <c r="F1" s="49"/>
      <c r="G1" s="49"/>
      <c r="H1" s="13">
        <f>SUM(Janv!H1)</f>
        <v>2024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48" t="s">
        <v>3</v>
      </c>
      <c r="F2" s="48"/>
      <c r="G2" s="48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45447</v>
      </c>
      <c r="B3" s="6" t="s">
        <v>64</v>
      </c>
      <c r="C3" s="6">
        <v>1</v>
      </c>
      <c r="D3" s="6">
        <v>87</v>
      </c>
      <c r="E3" s="6">
        <v>3</v>
      </c>
      <c r="F3" s="6">
        <v>56</v>
      </c>
      <c r="G3" s="6">
        <f>SUM(E3*60+F3)</f>
        <v>236</v>
      </c>
      <c r="H3" s="7">
        <f>SUM(D3/G3*60)</f>
        <v>22.118644067796613</v>
      </c>
      <c r="I3" s="7">
        <v>415</v>
      </c>
      <c r="J3" s="2"/>
      <c r="K3" s="6"/>
      <c r="L3" s="6">
        <v>87</v>
      </c>
    </row>
    <row r="4" spans="1:12" x14ac:dyDescent="0.25">
      <c r="A4" s="4">
        <v>45449</v>
      </c>
      <c r="B4" s="2" t="s">
        <v>65</v>
      </c>
      <c r="C4" s="6">
        <v>2</v>
      </c>
      <c r="D4" s="2">
        <v>100</v>
      </c>
      <c r="E4" s="2">
        <v>4</v>
      </c>
      <c r="F4" s="2">
        <v>6</v>
      </c>
      <c r="G4" s="6">
        <f t="shared" ref="G4:G20" si="0">SUM(E4*60+F4)</f>
        <v>246</v>
      </c>
      <c r="H4" s="3">
        <f t="shared" ref="H4:H23" si="1">SUM(D4/G4*60)</f>
        <v>24.390243902439025</v>
      </c>
      <c r="I4" s="7">
        <v>507</v>
      </c>
      <c r="J4" s="2"/>
      <c r="K4" s="2"/>
      <c r="L4" s="2">
        <v>100</v>
      </c>
    </row>
    <row r="5" spans="1:12" x14ac:dyDescent="0.25">
      <c r="A5" s="4">
        <v>45453</v>
      </c>
      <c r="B5" s="40" t="s">
        <v>66</v>
      </c>
      <c r="C5" s="41">
        <v>3</v>
      </c>
      <c r="D5" s="40">
        <v>58</v>
      </c>
      <c r="E5" s="40">
        <v>3</v>
      </c>
      <c r="F5" s="40">
        <v>15</v>
      </c>
      <c r="G5" s="41">
        <f t="shared" si="0"/>
        <v>195</v>
      </c>
      <c r="H5" s="42">
        <f t="shared" si="1"/>
        <v>17.846153846153847</v>
      </c>
      <c r="I5" s="42">
        <v>975</v>
      </c>
      <c r="J5" s="40"/>
      <c r="K5" s="40">
        <v>58</v>
      </c>
      <c r="L5" s="40"/>
    </row>
    <row r="6" spans="1:12" x14ac:dyDescent="0.25">
      <c r="A6" s="4">
        <v>45454</v>
      </c>
      <c r="B6" s="40" t="s">
        <v>67</v>
      </c>
      <c r="C6" s="41">
        <v>4</v>
      </c>
      <c r="D6" s="40">
        <v>105</v>
      </c>
      <c r="E6" s="40">
        <v>6</v>
      </c>
      <c r="F6" s="40">
        <v>6</v>
      </c>
      <c r="G6" s="41">
        <f t="shared" si="0"/>
        <v>366</v>
      </c>
      <c r="H6" s="42">
        <f t="shared" si="1"/>
        <v>17.21311475409836</v>
      </c>
      <c r="I6" s="42">
        <v>1565</v>
      </c>
      <c r="J6" s="40"/>
      <c r="K6" s="40">
        <v>105</v>
      </c>
      <c r="L6" s="40"/>
    </row>
    <row r="7" spans="1:12" x14ac:dyDescent="0.25">
      <c r="A7" s="4">
        <v>45455</v>
      </c>
      <c r="B7" s="40" t="s">
        <v>68</v>
      </c>
      <c r="C7" s="41">
        <v>5</v>
      </c>
      <c r="D7" s="40">
        <v>86</v>
      </c>
      <c r="E7" s="40">
        <v>4</v>
      </c>
      <c r="F7" s="40">
        <v>49</v>
      </c>
      <c r="G7" s="41">
        <f t="shared" si="0"/>
        <v>289</v>
      </c>
      <c r="H7" s="42">
        <f t="shared" si="1"/>
        <v>17.854671280276818</v>
      </c>
      <c r="I7" s="42">
        <v>1519</v>
      </c>
      <c r="J7" s="40"/>
      <c r="K7" s="40">
        <v>86</v>
      </c>
      <c r="L7" s="40"/>
    </row>
    <row r="8" spans="1:12" s="28" customFormat="1" x14ac:dyDescent="0.25">
      <c r="A8" s="23">
        <v>45456</v>
      </c>
      <c r="B8" s="40" t="s">
        <v>69</v>
      </c>
      <c r="C8" s="41">
        <v>6</v>
      </c>
      <c r="D8" s="40">
        <v>48</v>
      </c>
      <c r="E8" s="40">
        <v>2</v>
      </c>
      <c r="F8" s="40">
        <v>47</v>
      </c>
      <c r="G8" s="41">
        <f t="shared" si="0"/>
        <v>167</v>
      </c>
      <c r="H8" s="42">
        <f t="shared" si="1"/>
        <v>17.245508982035929</v>
      </c>
      <c r="I8" s="42">
        <v>816</v>
      </c>
      <c r="J8" s="40"/>
      <c r="K8" s="40">
        <v>48</v>
      </c>
      <c r="L8" s="40"/>
    </row>
    <row r="9" spans="1:12" s="28" customFormat="1" x14ac:dyDescent="0.25">
      <c r="A9" s="23">
        <v>45461</v>
      </c>
      <c r="B9" s="24" t="s">
        <v>70</v>
      </c>
      <c r="C9" s="25">
        <v>7</v>
      </c>
      <c r="D9" s="24">
        <v>96</v>
      </c>
      <c r="E9" s="24">
        <v>4</v>
      </c>
      <c r="F9" s="24">
        <v>9</v>
      </c>
      <c r="G9" s="25">
        <f t="shared" si="0"/>
        <v>249</v>
      </c>
      <c r="H9" s="26">
        <f t="shared" si="1"/>
        <v>23.132530120481928</v>
      </c>
      <c r="I9" s="26">
        <v>532</v>
      </c>
      <c r="J9" s="24"/>
      <c r="K9" s="24"/>
      <c r="L9" s="24">
        <v>96</v>
      </c>
    </row>
    <row r="10" spans="1:12" s="28" customFormat="1" x14ac:dyDescent="0.25">
      <c r="A10" s="23">
        <v>45468</v>
      </c>
      <c r="B10" s="24" t="s">
        <v>71</v>
      </c>
      <c r="C10" s="25">
        <v>8</v>
      </c>
      <c r="D10" s="24">
        <v>89</v>
      </c>
      <c r="E10" s="24">
        <v>3</v>
      </c>
      <c r="F10" s="24">
        <v>56</v>
      </c>
      <c r="G10" s="25">
        <f t="shared" si="0"/>
        <v>236</v>
      </c>
      <c r="H10" s="26">
        <f t="shared" si="1"/>
        <v>22.627118644067796</v>
      </c>
      <c r="I10" s="27">
        <v>495</v>
      </c>
      <c r="J10" s="24"/>
      <c r="K10" s="24"/>
      <c r="L10" s="24">
        <v>89</v>
      </c>
    </row>
    <row r="11" spans="1:12" s="28" customFormat="1" x14ac:dyDescent="0.25">
      <c r="A11" s="23">
        <v>45472</v>
      </c>
      <c r="B11" s="24" t="s">
        <v>72</v>
      </c>
      <c r="C11" s="25">
        <v>9</v>
      </c>
      <c r="D11" s="24">
        <v>76</v>
      </c>
      <c r="E11" s="24">
        <v>3</v>
      </c>
      <c r="F11" s="24">
        <v>6</v>
      </c>
      <c r="G11" s="25">
        <f t="shared" si="0"/>
        <v>186</v>
      </c>
      <c r="H11" s="26">
        <f t="shared" si="1"/>
        <v>24.516129032258068</v>
      </c>
      <c r="I11" s="26">
        <v>297</v>
      </c>
      <c r="J11" s="24"/>
      <c r="K11" s="24"/>
      <c r="L11" s="24">
        <v>76</v>
      </c>
    </row>
    <row r="12" spans="1:12" x14ac:dyDescent="0.25">
      <c r="A12" s="4"/>
      <c r="B12" s="2"/>
      <c r="C12" s="6">
        <v>10</v>
      </c>
      <c r="D12" s="2"/>
      <c r="E12" s="2"/>
      <c r="F12" s="2"/>
      <c r="G12" s="6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6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4"/>
      <c r="C14" s="6">
        <v>12</v>
      </c>
      <c r="D14" s="2"/>
      <c r="E14" s="2"/>
      <c r="F14" s="2"/>
      <c r="G14" s="6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4"/>
      <c r="C15" s="25">
        <v>13</v>
      </c>
      <c r="D15" s="24"/>
      <c r="E15" s="24"/>
      <c r="F15" s="24"/>
      <c r="G15" s="25">
        <f t="shared" si="0"/>
        <v>0</v>
      </c>
      <c r="H15" s="26" t="e">
        <f t="shared" si="1"/>
        <v>#DIV/0!</v>
      </c>
      <c r="I15" s="26"/>
      <c r="J15" s="24"/>
      <c r="K15" s="2"/>
      <c r="L15" s="2"/>
    </row>
    <row r="16" spans="1:12" x14ac:dyDescent="0.25">
      <c r="A16" s="4"/>
      <c r="B16" s="24"/>
      <c r="C16" s="25">
        <v>14</v>
      </c>
      <c r="D16" s="24"/>
      <c r="E16" s="24"/>
      <c r="F16" s="24"/>
      <c r="G16" s="25">
        <f t="shared" si="0"/>
        <v>0</v>
      </c>
      <c r="H16" s="26" t="e">
        <f t="shared" si="1"/>
        <v>#DIV/0!</v>
      </c>
      <c r="I16" s="26"/>
      <c r="J16" s="24"/>
      <c r="K16" s="2"/>
      <c r="L16" s="2"/>
    </row>
    <row r="17" spans="1:14" x14ac:dyDescent="0.25">
      <c r="A17" s="4"/>
      <c r="B17" s="24"/>
      <c r="C17" s="25">
        <v>15</v>
      </c>
      <c r="D17" s="24"/>
      <c r="E17" s="24"/>
      <c r="F17" s="24"/>
      <c r="G17" s="25">
        <f t="shared" si="0"/>
        <v>0</v>
      </c>
      <c r="H17" s="26" t="e">
        <f t="shared" si="1"/>
        <v>#DIV/0!</v>
      </c>
      <c r="I17" s="26"/>
      <c r="J17" s="24"/>
      <c r="K17" s="2"/>
      <c r="L17" s="2"/>
    </row>
    <row r="18" spans="1:14" x14ac:dyDescent="0.25">
      <c r="A18" s="35"/>
      <c r="B18" s="24"/>
      <c r="C18" s="25">
        <v>16</v>
      </c>
      <c r="D18" s="24"/>
      <c r="E18" s="24"/>
      <c r="F18" s="24"/>
      <c r="G18" s="25">
        <f t="shared" si="0"/>
        <v>0</v>
      </c>
      <c r="H18" s="26" t="e">
        <f t="shared" si="1"/>
        <v>#DIV/0!</v>
      </c>
      <c r="I18" s="26"/>
      <c r="J18" s="24"/>
      <c r="K18" s="2"/>
      <c r="L18" s="2"/>
    </row>
    <row r="19" spans="1:14" x14ac:dyDescent="0.25">
      <c r="A19" s="4"/>
      <c r="B19" s="24"/>
      <c r="C19" s="25">
        <v>17</v>
      </c>
      <c r="D19" s="24"/>
      <c r="E19" s="24"/>
      <c r="F19" s="24"/>
      <c r="G19" s="25">
        <f t="shared" si="0"/>
        <v>0</v>
      </c>
      <c r="H19" s="26" t="e">
        <f t="shared" si="1"/>
        <v>#DIV/0!</v>
      </c>
      <c r="I19" s="26"/>
      <c r="J19" s="24"/>
      <c r="K19" s="2"/>
      <c r="L19" s="2"/>
    </row>
    <row r="20" spans="1:14" x14ac:dyDescent="0.25">
      <c r="A20" s="4"/>
      <c r="B20" s="24"/>
      <c r="C20" s="25">
        <v>18</v>
      </c>
      <c r="D20" s="24"/>
      <c r="E20" s="24"/>
      <c r="F20" s="24"/>
      <c r="G20" s="25">
        <f t="shared" si="0"/>
        <v>0</v>
      </c>
      <c r="H20" s="26" t="e">
        <f t="shared" si="1"/>
        <v>#DIV/0!</v>
      </c>
      <c r="I20" s="26"/>
      <c r="J20" s="24"/>
      <c r="K20" s="2"/>
      <c r="L20" s="2"/>
    </row>
    <row r="21" spans="1:14" x14ac:dyDescent="0.25">
      <c r="A21" s="4"/>
      <c r="B21" s="24"/>
      <c r="C21" s="25">
        <v>19</v>
      </c>
      <c r="D21" s="24"/>
      <c r="E21" s="24"/>
      <c r="F21" s="24"/>
      <c r="G21" s="24">
        <f t="shared" ref="G21:G23" si="2">SUM(E21*60+F21)</f>
        <v>0</v>
      </c>
      <c r="H21" s="26" t="e">
        <f t="shared" si="1"/>
        <v>#DIV/0!</v>
      </c>
      <c r="I21" s="26"/>
      <c r="J21" s="24"/>
      <c r="K21" s="2"/>
      <c r="L21" s="2"/>
    </row>
    <row r="22" spans="1:14" x14ac:dyDescent="0.25">
      <c r="A22" s="4"/>
      <c r="B22" s="24"/>
      <c r="C22" s="25">
        <v>20</v>
      </c>
      <c r="D22" s="24"/>
      <c r="E22" s="24"/>
      <c r="F22" s="24"/>
      <c r="G22" s="24">
        <f t="shared" si="2"/>
        <v>0</v>
      </c>
      <c r="H22" s="26" t="e">
        <f t="shared" si="1"/>
        <v>#DIV/0!</v>
      </c>
      <c r="I22" s="26"/>
      <c r="J22" s="24"/>
      <c r="K22" s="2"/>
      <c r="L22" s="2"/>
    </row>
    <row r="23" spans="1:14" x14ac:dyDescent="0.25">
      <c r="A23" s="4"/>
      <c r="B23" s="24"/>
      <c r="C23" s="25">
        <v>21</v>
      </c>
      <c r="D23" s="24"/>
      <c r="E23" s="24"/>
      <c r="F23" s="24"/>
      <c r="G23" s="24">
        <f t="shared" si="2"/>
        <v>0</v>
      </c>
      <c r="H23" s="26" t="e">
        <f t="shared" si="1"/>
        <v>#DIV/0!</v>
      </c>
      <c r="I23" s="26"/>
      <c r="J23" s="24"/>
      <c r="K23" s="2"/>
      <c r="L23" s="2"/>
      <c r="N23" s="1"/>
    </row>
    <row r="24" spans="1:14" x14ac:dyDescent="0.25">
      <c r="D24">
        <f>SUM(D3:D23)</f>
        <v>745</v>
      </c>
      <c r="I24" s="1">
        <f>SUM(I3:I23)</f>
        <v>7121</v>
      </c>
      <c r="K24">
        <f>SUM(K3:K23)</f>
        <v>297</v>
      </c>
      <c r="L24">
        <f>SUM(L3:L23)</f>
        <v>448</v>
      </c>
    </row>
    <row r="25" spans="1:14" x14ac:dyDescent="0.25">
      <c r="A25" t="s">
        <v>25</v>
      </c>
      <c r="B25">
        <f>SUM(Mai!B25+Juin!D24)</f>
        <v>3643.3</v>
      </c>
      <c r="H25" s="1">
        <f>SUM(Mai!H25+Juin!I24)</f>
        <v>22980</v>
      </c>
      <c r="K25">
        <f>SUM(Mai!K25+Juin!K24)</f>
        <v>576</v>
      </c>
      <c r="L25">
        <f>SUM(Mai!L25+Juin!L24)</f>
        <v>2995</v>
      </c>
    </row>
    <row r="26" spans="1:14" x14ac:dyDescent="0.25">
      <c r="J26" t="s">
        <v>22</v>
      </c>
      <c r="K26">
        <v>1843</v>
      </c>
      <c r="L26">
        <v>9688</v>
      </c>
    </row>
    <row r="27" spans="1:14" x14ac:dyDescent="0.25">
      <c r="J27" t="s">
        <v>24</v>
      </c>
      <c r="K27">
        <f>SUM(Janv!K27)</f>
        <v>2920</v>
      </c>
      <c r="L27">
        <f>SUM(Janv!L27)</f>
        <v>6043</v>
      </c>
    </row>
    <row r="28" spans="1:14" x14ac:dyDescent="0.25">
      <c r="J28" t="s">
        <v>26</v>
      </c>
      <c r="K28">
        <v>7538</v>
      </c>
      <c r="L28">
        <v>3488</v>
      </c>
    </row>
    <row r="29" spans="1:14" x14ac:dyDescent="0.25">
      <c r="J29" t="s">
        <v>27</v>
      </c>
    </row>
    <row r="30" spans="1:14" x14ac:dyDescent="0.25">
      <c r="J30" t="s">
        <v>23</v>
      </c>
      <c r="K30" s="1">
        <f>SUM(K25:K28)</f>
        <v>12877</v>
      </c>
      <c r="L30" s="1">
        <f>SUM(L25:L28)</f>
        <v>22214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"/>
  <sheetViews>
    <sheetView workbookViewId="0">
      <selection activeCell="B25" sqref="B25"/>
    </sheetView>
  </sheetViews>
  <sheetFormatPr baseColWidth="10" defaultRowHeight="15" x14ac:dyDescent="0.25"/>
  <cols>
    <col min="1" max="1" width="12.710937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7.85546875" customWidth="1"/>
  </cols>
  <sheetData>
    <row r="1" spans="1:12" ht="27" thickBot="1" x14ac:dyDescent="0.45">
      <c r="A1" s="49" t="s">
        <v>13</v>
      </c>
      <c r="B1" s="49"/>
      <c r="C1" s="49"/>
      <c r="D1" s="49"/>
      <c r="E1" s="49"/>
      <c r="F1" s="49"/>
      <c r="G1" s="49"/>
      <c r="H1" s="13">
        <f>SUM(Janv!H1)</f>
        <v>2024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48" t="s">
        <v>3</v>
      </c>
      <c r="F2" s="48"/>
      <c r="G2" s="48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36">
        <v>45475</v>
      </c>
      <c r="B3" s="25" t="s">
        <v>43</v>
      </c>
      <c r="C3" s="6">
        <v>1</v>
      </c>
      <c r="D3" s="6">
        <v>111</v>
      </c>
      <c r="E3" s="6">
        <v>4</v>
      </c>
      <c r="F3" s="6">
        <v>33</v>
      </c>
      <c r="G3" s="6">
        <f>SUM(E3*60+F3)</f>
        <v>273</v>
      </c>
      <c r="H3" s="7">
        <f>SUM(D3/G3*60)</f>
        <v>24.395604395604394</v>
      </c>
      <c r="I3" s="7">
        <v>508</v>
      </c>
      <c r="J3" s="6"/>
      <c r="K3" s="6"/>
      <c r="L3" s="6">
        <v>111</v>
      </c>
    </row>
    <row r="4" spans="1:12" x14ac:dyDescent="0.25">
      <c r="A4" s="23">
        <v>45477</v>
      </c>
      <c r="B4" s="24" t="s">
        <v>73</v>
      </c>
      <c r="C4" s="6">
        <v>2</v>
      </c>
      <c r="D4" s="2">
        <v>102</v>
      </c>
      <c r="E4" s="2">
        <v>4</v>
      </c>
      <c r="F4" s="2">
        <v>9</v>
      </c>
      <c r="G4" s="6">
        <f t="shared" ref="G4:G23" si="0">SUM(E4*60+F4)</f>
        <v>249</v>
      </c>
      <c r="H4" s="3">
        <f t="shared" ref="H4:H7" si="1">SUM(D4/G4*60)</f>
        <v>24.578313253012048</v>
      </c>
      <c r="I4" s="7">
        <v>520</v>
      </c>
      <c r="J4" s="2"/>
      <c r="K4" s="2"/>
      <c r="L4" s="2">
        <v>102</v>
      </c>
    </row>
    <row r="5" spans="1:12" x14ac:dyDescent="0.25">
      <c r="A5" s="4">
        <v>45482</v>
      </c>
      <c r="B5" s="2" t="s">
        <v>74</v>
      </c>
      <c r="C5" s="6">
        <v>3</v>
      </c>
      <c r="D5" s="2">
        <v>103</v>
      </c>
      <c r="E5" s="2">
        <v>4</v>
      </c>
      <c r="F5" s="2">
        <v>7</v>
      </c>
      <c r="G5" s="6">
        <f t="shared" si="0"/>
        <v>247</v>
      </c>
      <c r="H5" s="3">
        <f t="shared" si="1"/>
        <v>25.020242914979757</v>
      </c>
      <c r="I5" s="3">
        <v>569</v>
      </c>
      <c r="J5" s="2"/>
      <c r="K5" s="2"/>
      <c r="L5" s="2">
        <v>103</v>
      </c>
    </row>
    <row r="6" spans="1:12" x14ac:dyDescent="0.25">
      <c r="A6" s="4">
        <v>45484</v>
      </c>
      <c r="B6" s="2" t="s">
        <v>75</v>
      </c>
      <c r="C6" s="6">
        <v>4</v>
      </c>
      <c r="D6" s="2">
        <v>105</v>
      </c>
      <c r="E6" s="2">
        <v>4</v>
      </c>
      <c r="F6" s="2">
        <v>23</v>
      </c>
      <c r="G6" s="6">
        <f t="shared" si="0"/>
        <v>263</v>
      </c>
      <c r="H6" s="3">
        <f t="shared" si="1"/>
        <v>23.954372623574145</v>
      </c>
      <c r="I6" s="3">
        <v>711</v>
      </c>
      <c r="J6" s="2"/>
      <c r="K6" s="2"/>
      <c r="L6" s="2">
        <v>105</v>
      </c>
    </row>
    <row r="7" spans="1:12" x14ac:dyDescent="0.25">
      <c r="A7" s="4">
        <v>45491</v>
      </c>
      <c r="B7" s="2" t="s">
        <v>77</v>
      </c>
      <c r="C7" s="6">
        <v>5</v>
      </c>
      <c r="D7" s="2">
        <v>26</v>
      </c>
      <c r="E7" s="2">
        <v>1</v>
      </c>
      <c r="F7" s="2">
        <v>37</v>
      </c>
      <c r="G7" s="6">
        <f t="shared" si="0"/>
        <v>97</v>
      </c>
      <c r="H7" s="3">
        <f t="shared" si="1"/>
        <v>16.082474226804123</v>
      </c>
      <c r="I7" s="3">
        <v>417</v>
      </c>
      <c r="J7" s="2"/>
      <c r="K7" s="2">
        <v>26</v>
      </c>
      <c r="L7" s="2"/>
    </row>
    <row r="8" spans="1:12" x14ac:dyDescent="0.25">
      <c r="A8" s="4">
        <v>45492</v>
      </c>
      <c r="B8" s="2" t="s">
        <v>78</v>
      </c>
      <c r="C8" s="6">
        <v>6</v>
      </c>
      <c r="D8" s="2">
        <v>22</v>
      </c>
      <c r="E8" s="2">
        <v>1</v>
      </c>
      <c r="F8" s="2">
        <v>3</v>
      </c>
      <c r="G8" s="6">
        <f t="shared" si="0"/>
        <v>63</v>
      </c>
      <c r="H8" s="3">
        <f t="shared" ref="H8:H23" si="2">SUM(D8/G8*60)</f>
        <v>20.952380952380953</v>
      </c>
      <c r="I8" s="3">
        <v>308</v>
      </c>
      <c r="J8" s="2"/>
      <c r="K8" s="2">
        <v>22</v>
      </c>
      <c r="L8" s="2"/>
    </row>
    <row r="9" spans="1:12" x14ac:dyDescent="0.25">
      <c r="A9" s="4"/>
      <c r="B9" s="2"/>
      <c r="C9" s="6">
        <v>7</v>
      </c>
      <c r="D9" s="2"/>
      <c r="E9" s="2"/>
      <c r="F9" s="2"/>
      <c r="G9" s="6">
        <f t="shared" si="0"/>
        <v>0</v>
      </c>
      <c r="H9" s="3" t="e">
        <f t="shared" si="2"/>
        <v>#DIV/0!</v>
      </c>
      <c r="I9" s="3"/>
      <c r="J9" s="2"/>
      <c r="K9" s="2"/>
      <c r="L9" s="2"/>
    </row>
    <row r="10" spans="1:12" s="28" customFormat="1" x14ac:dyDescent="0.25">
      <c r="A10" s="23"/>
      <c r="B10" s="24"/>
      <c r="C10" s="6">
        <v>8</v>
      </c>
      <c r="D10" s="24"/>
      <c r="E10" s="24"/>
      <c r="F10" s="24"/>
      <c r="G10" s="6">
        <f t="shared" si="0"/>
        <v>0</v>
      </c>
      <c r="H10" s="26" t="e">
        <f t="shared" si="2"/>
        <v>#DIV/0!</v>
      </c>
      <c r="I10" s="27"/>
      <c r="J10" s="24"/>
      <c r="K10" s="2"/>
      <c r="L10" s="2"/>
    </row>
    <row r="11" spans="1:12" s="28" customFormat="1" x14ac:dyDescent="0.25">
      <c r="A11" s="23"/>
      <c r="B11" s="24"/>
      <c r="C11" s="6">
        <v>9</v>
      </c>
      <c r="D11" s="24"/>
      <c r="E11" s="24"/>
      <c r="F11" s="24"/>
      <c r="G11" s="6">
        <f t="shared" si="0"/>
        <v>0</v>
      </c>
      <c r="H11" s="26" t="e">
        <f t="shared" si="2"/>
        <v>#DIV/0!</v>
      </c>
      <c r="I11" s="26"/>
      <c r="J11" s="24"/>
      <c r="K11" s="2"/>
      <c r="L11" s="2"/>
    </row>
    <row r="12" spans="1:12" s="28" customFormat="1" x14ac:dyDescent="0.25">
      <c r="A12" s="23"/>
      <c r="B12" s="24"/>
      <c r="C12" s="6">
        <v>10</v>
      </c>
      <c r="D12" s="24"/>
      <c r="E12" s="24"/>
      <c r="F12" s="24"/>
      <c r="G12" s="6">
        <f t="shared" si="0"/>
        <v>0</v>
      </c>
      <c r="H12" s="26" t="e">
        <f t="shared" si="2"/>
        <v>#DIV/0!</v>
      </c>
      <c r="I12" s="26"/>
      <c r="J12" s="24"/>
      <c r="K12" s="2"/>
      <c r="L12" s="2"/>
    </row>
    <row r="13" spans="1:12" s="28" customFormat="1" x14ac:dyDescent="0.25">
      <c r="A13" s="23"/>
      <c r="B13" s="24"/>
      <c r="C13" s="6">
        <v>11</v>
      </c>
      <c r="D13" s="24"/>
      <c r="E13" s="24"/>
      <c r="F13" s="24"/>
      <c r="G13" s="6">
        <f t="shared" si="0"/>
        <v>0</v>
      </c>
      <c r="H13" s="26" t="e">
        <f t="shared" si="2"/>
        <v>#DIV/0!</v>
      </c>
      <c r="I13" s="26"/>
      <c r="J13" s="24"/>
      <c r="K13" s="2"/>
      <c r="L13" s="2"/>
    </row>
    <row r="14" spans="1:12" s="28" customFormat="1" x14ac:dyDescent="0.25">
      <c r="A14" s="23"/>
      <c r="B14" s="24"/>
      <c r="C14" s="6">
        <v>12</v>
      </c>
      <c r="D14" s="24"/>
      <c r="E14" s="24"/>
      <c r="F14" s="24"/>
      <c r="G14" s="6">
        <f t="shared" si="0"/>
        <v>0</v>
      </c>
      <c r="H14" s="26" t="e">
        <f t="shared" si="2"/>
        <v>#DIV/0!</v>
      </c>
      <c r="I14" s="26"/>
      <c r="J14" s="24"/>
      <c r="K14" s="2"/>
      <c r="L14" s="2"/>
    </row>
    <row r="15" spans="1:12" s="28" customFormat="1" x14ac:dyDescent="0.25">
      <c r="A15" s="23"/>
      <c r="B15" s="24"/>
      <c r="C15" s="6">
        <v>13</v>
      </c>
      <c r="D15" s="24"/>
      <c r="E15" s="24"/>
      <c r="F15" s="24"/>
      <c r="G15" s="6">
        <f t="shared" si="0"/>
        <v>0</v>
      </c>
      <c r="H15" s="26" t="e">
        <f t="shared" si="2"/>
        <v>#DIV/0!</v>
      </c>
      <c r="I15" s="26"/>
      <c r="J15" s="24"/>
      <c r="K15" s="2"/>
      <c r="L15" s="2"/>
    </row>
    <row r="16" spans="1:12" s="28" customFormat="1" x14ac:dyDescent="0.25">
      <c r="A16" s="23"/>
      <c r="B16" s="24"/>
      <c r="C16" s="6">
        <v>14</v>
      </c>
      <c r="D16" s="24"/>
      <c r="E16" s="24"/>
      <c r="F16" s="24"/>
      <c r="G16" s="6">
        <f t="shared" si="0"/>
        <v>0</v>
      </c>
      <c r="H16" s="26" t="e">
        <f t="shared" si="2"/>
        <v>#DIV/0!</v>
      </c>
      <c r="I16" s="26"/>
      <c r="J16" s="24"/>
      <c r="K16" s="2"/>
      <c r="L16" s="2"/>
    </row>
    <row r="17" spans="1:12" s="28" customFormat="1" x14ac:dyDescent="0.25">
      <c r="A17" s="23"/>
      <c r="B17" s="24"/>
      <c r="C17" s="6">
        <v>15</v>
      </c>
      <c r="D17" s="24"/>
      <c r="E17" s="24"/>
      <c r="F17" s="24"/>
      <c r="G17" s="6">
        <f t="shared" si="0"/>
        <v>0</v>
      </c>
      <c r="H17" s="26" t="e">
        <f t="shared" si="2"/>
        <v>#DIV/0!</v>
      </c>
      <c r="I17" s="26"/>
      <c r="J17" s="24"/>
      <c r="K17" s="2"/>
      <c r="L17" s="2"/>
    </row>
    <row r="18" spans="1:12" x14ac:dyDescent="0.25">
      <c r="A18" s="23"/>
      <c r="B18" s="24"/>
      <c r="C18" s="6">
        <v>16</v>
      </c>
      <c r="D18" s="24"/>
      <c r="E18" s="24"/>
      <c r="F18" s="24"/>
      <c r="G18" s="6">
        <f t="shared" si="0"/>
        <v>0</v>
      </c>
      <c r="H18" s="26" t="e">
        <f t="shared" si="2"/>
        <v>#DIV/0!</v>
      </c>
      <c r="I18" s="26"/>
      <c r="J18" s="24"/>
      <c r="K18" s="2"/>
      <c r="L18" s="2"/>
    </row>
    <row r="19" spans="1:12" x14ac:dyDescent="0.25">
      <c r="A19" s="23"/>
      <c r="B19" s="24"/>
      <c r="C19" s="6">
        <v>17</v>
      </c>
      <c r="D19" s="24"/>
      <c r="E19" s="24"/>
      <c r="F19" s="24"/>
      <c r="G19" s="6">
        <f t="shared" si="0"/>
        <v>0</v>
      </c>
      <c r="H19" s="26" t="e">
        <f t="shared" si="2"/>
        <v>#DIV/0!</v>
      </c>
      <c r="I19" s="26"/>
      <c r="J19" s="24"/>
      <c r="K19" s="2"/>
      <c r="L19" s="2"/>
    </row>
    <row r="20" spans="1:12" x14ac:dyDescent="0.25">
      <c r="A20" s="23"/>
      <c r="B20" s="24"/>
      <c r="C20" s="6">
        <v>18</v>
      </c>
      <c r="D20" s="2"/>
      <c r="E20" s="2"/>
      <c r="F20" s="2"/>
      <c r="G20" s="6">
        <f t="shared" si="0"/>
        <v>0</v>
      </c>
      <c r="H20" s="3" t="e">
        <f t="shared" si="2"/>
        <v>#DIV/0!</v>
      </c>
      <c r="I20" s="3"/>
      <c r="J20" s="24"/>
      <c r="K20" s="2"/>
      <c r="L20" s="2"/>
    </row>
    <row r="21" spans="1:12" x14ac:dyDescent="0.25">
      <c r="A21" s="23"/>
      <c r="B21" s="24"/>
      <c r="C21" s="6">
        <v>19</v>
      </c>
      <c r="D21" s="2"/>
      <c r="E21" s="2"/>
      <c r="F21" s="2"/>
      <c r="G21" s="6">
        <f t="shared" si="0"/>
        <v>0</v>
      </c>
      <c r="H21" s="3" t="e">
        <f t="shared" si="2"/>
        <v>#DIV/0!</v>
      </c>
      <c r="I21" s="3"/>
      <c r="J21" s="24"/>
      <c r="K21" s="2"/>
      <c r="L21" s="2"/>
    </row>
    <row r="22" spans="1:12" x14ac:dyDescent="0.25">
      <c r="A22" s="4"/>
      <c r="B22" s="24"/>
      <c r="C22" s="6">
        <v>20</v>
      </c>
      <c r="D22" s="2"/>
      <c r="E22" s="2"/>
      <c r="F22" s="2"/>
      <c r="G22" s="6">
        <f t="shared" si="0"/>
        <v>0</v>
      </c>
      <c r="H22" s="3" t="e">
        <f t="shared" si="2"/>
        <v>#DIV/0!</v>
      </c>
      <c r="I22" s="3"/>
      <c r="J22" s="24"/>
      <c r="K22" s="2"/>
      <c r="L22" s="2"/>
    </row>
    <row r="23" spans="1:12" x14ac:dyDescent="0.25">
      <c r="A23" s="4"/>
      <c r="B23" s="2"/>
      <c r="C23" s="6">
        <v>21</v>
      </c>
      <c r="D23" s="2"/>
      <c r="E23" s="2"/>
      <c r="F23" s="2"/>
      <c r="G23" s="6">
        <f t="shared" si="0"/>
        <v>0</v>
      </c>
      <c r="H23" s="3" t="e">
        <f t="shared" si="2"/>
        <v>#DIV/0!</v>
      </c>
      <c r="I23" s="3"/>
      <c r="J23" s="24"/>
      <c r="K23" s="2"/>
      <c r="L23" s="2"/>
    </row>
    <row r="24" spans="1:12" x14ac:dyDescent="0.25">
      <c r="D24">
        <f>SUM(D3:D23)</f>
        <v>469</v>
      </c>
      <c r="I24" s="1">
        <f>SUM(I3:I23)</f>
        <v>3033</v>
      </c>
      <c r="K24" s="1">
        <f>SUM(K3:K23)</f>
        <v>48</v>
      </c>
      <c r="L24" s="1">
        <f>SUM(L3:L23)</f>
        <v>421</v>
      </c>
    </row>
    <row r="25" spans="1:12" x14ac:dyDescent="0.25">
      <c r="A25" t="s">
        <v>25</v>
      </c>
      <c r="B25">
        <f>SUM(Juin!B25+Juil!D24)</f>
        <v>4112.3</v>
      </c>
      <c r="H25" s="1">
        <f>SUM(Juin!H25+Juil!I24)</f>
        <v>26013</v>
      </c>
      <c r="K25" s="1">
        <f>SUM(Juin!K25+Juil!K24)</f>
        <v>624</v>
      </c>
      <c r="L25" s="1">
        <f>SUM(Juin!L25+Juil!L24)</f>
        <v>3416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>SUM(Janv!K27)</f>
        <v>2920</v>
      </c>
      <c r="L27">
        <f>SUM(Janv!L27)</f>
        <v>6043</v>
      </c>
    </row>
    <row r="28" spans="1:12" x14ac:dyDescent="0.25">
      <c r="J28" t="s">
        <v>26</v>
      </c>
      <c r="K28">
        <v>7538</v>
      </c>
      <c r="L28">
        <v>3488</v>
      </c>
    </row>
    <row r="29" spans="1:12" x14ac:dyDescent="0.25">
      <c r="J29" t="s">
        <v>27</v>
      </c>
    </row>
    <row r="30" spans="1:12" x14ac:dyDescent="0.25">
      <c r="J30" t="s">
        <v>23</v>
      </c>
      <c r="K30" s="1">
        <f>SUM(K25:K28)</f>
        <v>12925</v>
      </c>
      <c r="L30" s="1">
        <f>SUM(L25:L28)</f>
        <v>22635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6"/>
  <sheetViews>
    <sheetView zoomScaleNormal="100" workbookViewId="0">
      <selection activeCell="B25" sqref="B25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8" customWidth="1"/>
  </cols>
  <sheetData>
    <row r="1" spans="1:12" ht="27" thickBot="1" x14ac:dyDescent="0.45">
      <c r="A1" s="49" t="s">
        <v>14</v>
      </c>
      <c r="B1" s="49"/>
      <c r="C1" s="49"/>
      <c r="D1" s="49"/>
      <c r="E1" s="49"/>
      <c r="F1" s="49"/>
      <c r="G1" s="49"/>
      <c r="H1" s="13">
        <f>SUM(Janv!H1)</f>
        <v>2024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48" t="s">
        <v>3</v>
      </c>
      <c r="F2" s="48"/>
      <c r="G2" s="48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45505</v>
      </c>
      <c r="B3" s="24" t="s">
        <v>76</v>
      </c>
      <c r="C3" s="6">
        <v>1</v>
      </c>
      <c r="D3" s="6">
        <v>89</v>
      </c>
      <c r="E3" s="6">
        <v>3</v>
      </c>
      <c r="F3" s="6">
        <v>40</v>
      </c>
      <c r="G3" s="2">
        <f t="shared" ref="G3:G22" si="0">SUM(E3*60+F3)</f>
        <v>220</v>
      </c>
      <c r="H3" s="7">
        <f>SUM(D3/G3*60)</f>
        <v>24.272727272727273</v>
      </c>
      <c r="I3" s="7">
        <v>365</v>
      </c>
      <c r="J3" s="24"/>
      <c r="K3" s="6"/>
      <c r="L3" s="6">
        <v>89</v>
      </c>
    </row>
    <row r="4" spans="1:12" x14ac:dyDescent="0.25">
      <c r="A4" s="4">
        <v>45507</v>
      </c>
      <c r="B4" s="24" t="s">
        <v>79</v>
      </c>
      <c r="C4" s="6">
        <v>2</v>
      </c>
      <c r="D4" s="2">
        <v>90</v>
      </c>
      <c r="E4" s="2">
        <v>3</v>
      </c>
      <c r="F4" s="2">
        <v>35</v>
      </c>
      <c r="G4" s="2">
        <f t="shared" si="0"/>
        <v>215</v>
      </c>
      <c r="H4" s="3">
        <f t="shared" ref="H4:H23" si="1">SUM(D4/G4*60)</f>
        <v>25.116279069767444</v>
      </c>
      <c r="I4" s="7">
        <v>137</v>
      </c>
      <c r="J4" s="24"/>
      <c r="K4" s="2"/>
      <c r="L4" s="2">
        <v>90</v>
      </c>
    </row>
    <row r="5" spans="1:12" x14ac:dyDescent="0.25">
      <c r="A5" s="4">
        <v>45514</v>
      </c>
      <c r="B5" s="24" t="s">
        <v>80</v>
      </c>
      <c r="C5" s="6">
        <v>3</v>
      </c>
      <c r="D5" s="2">
        <v>84</v>
      </c>
      <c r="E5" s="2">
        <v>3</v>
      </c>
      <c r="F5" s="2">
        <v>18</v>
      </c>
      <c r="G5" s="2">
        <f t="shared" si="0"/>
        <v>198</v>
      </c>
      <c r="H5" s="3">
        <f t="shared" si="1"/>
        <v>25.454545454545457</v>
      </c>
      <c r="I5" s="3">
        <v>309</v>
      </c>
      <c r="J5" s="24"/>
      <c r="K5" s="2"/>
      <c r="L5" s="2">
        <v>84</v>
      </c>
    </row>
    <row r="6" spans="1:12" x14ac:dyDescent="0.25">
      <c r="A6" s="4">
        <v>45517</v>
      </c>
      <c r="B6" s="2" t="s">
        <v>81</v>
      </c>
      <c r="C6" s="6">
        <v>4</v>
      </c>
      <c r="D6" s="2">
        <v>92</v>
      </c>
      <c r="E6" s="2">
        <v>3</v>
      </c>
      <c r="F6" s="2">
        <v>27</v>
      </c>
      <c r="G6" s="2">
        <f t="shared" si="0"/>
        <v>207</v>
      </c>
      <c r="H6" s="3">
        <f t="shared" si="1"/>
        <v>26.666666666666664</v>
      </c>
      <c r="I6" s="3">
        <v>338</v>
      </c>
      <c r="J6" s="2"/>
      <c r="K6" s="2"/>
      <c r="L6" s="2">
        <v>92</v>
      </c>
    </row>
    <row r="7" spans="1:12" x14ac:dyDescent="0.25">
      <c r="A7" s="4">
        <v>45528</v>
      </c>
      <c r="B7" s="2" t="s">
        <v>82</v>
      </c>
      <c r="C7" s="6">
        <v>5</v>
      </c>
      <c r="D7" s="2">
        <v>81</v>
      </c>
      <c r="E7" s="2">
        <v>3</v>
      </c>
      <c r="F7" s="2">
        <v>25</v>
      </c>
      <c r="G7" s="2">
        <f t="shared" si="0"/>
        <v>205</v>
      </c>
      <c r="H7" s="3">
        <f t="shared" si="1"/>
        <v>23.707317073170731</v>
      </c>
      <c r="I7" s="3">
        <v>519</v>
      </c>
      <c r="J7" s="2"/>
      <c r="K7" s="2"/>
      <c r="L7" s="2">
        <v>81</v>
      </c>
    </row>
    <row r="8" spans="1:12" x14ac:dyDescent="0.25">
      <c r="A8" s="4">
        <v>45531</v>
      </c>
      <c r="B8" s="2" t="s">
        <v>83</v>
      </c>
      <c r="C8" s="6">
        <v>6</v>
      </c>
      <c r="D8" s="2">
        <v>90</v>
      </c>
      <c r="E8" s="2">
        <v>3</v>
      </c>
      <c r="F8" s="2">
        <v>42</v>
      </c>
      <c r="G8" s="2">
        <f t="shared" si="0"/>
        <v>222</v>
      </c>
      <c r="H8" s="3">
        <f t="shared" si="1"/>
        <v>24.324324324324326</v>
      </c>
      <c r="I8" s="3">
        <v>524</v>
      </c>
      <c r="J8" s="2"/>
      <c r="K8" s="2"/>
      <c r="L8" s="2">
        <v>90</v>
      </c>
    </row>
    <row r="9" spans="1:12" x14ac:dyDescent="0.25">
      <c r="A9" s="4">
        <v>45532</v>
      </c>
      <c r="B9" s="2" t="s">
        <v>85</v>
      </c>
      <c r="C9" s="6">
        <v>7</v>
      </c>
      <c r="D9" s="2">
        <v>38</v>
      </c>
      <c r="E9" s="2">
        <v>1</v>
      </c>
      <c r="F9" s="2">
        <v>39</v>
      </c>
      <c r="G9" s="2">
        <f t="shared" si="0"/>
        <v>99</v>
      </c>
      <c r="H9" s="3">
        <f t="shared" si="1"/>
        <v>23.030303030303028</v>
      </c>
      <c r="I9" s="3">
        <v>79</v>
      </c>
      <c r="J9" s="2"/>
      <c r="K9" s="2"/>
      <c r="L9" s="2"/>
    </row>
    <row r="10" spans="1:12" s="22" customFormat="1" x14ac:dyDescent="0.25">
      <c r="A10" s="4">
        <v>45533</v>
      </c>
      <c r="B10" s="2" t="s">
        <v>84</v>
      </c>
      <c r="C10" s="44">
        <v>8</v>
      </c>
      <c r="D10" s="43">
        <v>98</v>
      </c>
      <c r="E10" s="43">
        <v>3</v>
      </c>
      <c r="F10" s="43">
        <v>48</v>
      </c>
      <c r="G10" s="43">
        <f t="shared" si="0"/>
        <v>228</v>
      </c>
      <c r="H10" s="45">
        <f t="shared" si="1"/>
        <v>25.789473684210527</v>
      </c>
      <c r="I10" s="46">
        <v>456</v>
      </c>
      <c r="J10" s="2"/>
      <c r="K10" s="2"/>
      <c r="L10" s="2">
        <v>98</v>
      </c>
    </row>
    <row r="11" spans="1:12" s="22" customFormat="1" x14ac:dyDescent="0.25">
      <c r="A11" s="47"/>
      <c r="B11" s="43"/>
      <c r="C11" s="44">
        <v>9</v>
      </c>
      <c r="D11" s="43"/>
      <c r="E11" s="43"/>
      <c r="F11" s="43"/>
      <c r="G11" s="43">
        <f t="shared" si="0"/>
        <v>0</v>
      </c>
      <c r="H11" s="45" t="e">
        <f t="shared" si="1"/>
        <v>#DIV/0!</v>
      </c>
      <c r="I11" s="45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ref="G12" si="2">SUM(E12*60+F12)</f>
        <v>0</v>
      </c>
      <c r="H12" s="3" t="e">
        <f t="shared" ref="H12" si="3">SUM(D12/G12*60)</f>
        <v>#DIV/0!</v>
      </c>
      <c r="I12" s="3"/>
      <c r="J12" s="6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6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17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0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ref="G23" si="4">SUM(E23*60+F23)</f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A24" s="18"/>
      <c r="D24">
        <f>SUM(D2:D23)</f>
        <v>662</v>
      </c>
      <c r="I24" s="1">
        <f>SUM(I3:I23)</f>
        <v>2727</v>
      </c>
      <c r="K24" s="1">
        <f>SUM(K1:K23)</f>
        <v>0</v>
      </c>
      <c r="L24" s="1">
        <f>SUM(L1:L23)</f>
        <v>624</v>
      </c>
    </row>
    <row r="25" spans="1:12" x14ac:dyDescent="0.25">
      <c r="A25" t="s">
        <v>25</v>
      </c>
      <c r="B25">
        <f>SUM(Juil!B25+Aout!D24)</f>
        <v>4774.3</v>
      </c>
      <c r="H25" s="1">
        <f>SUM(Juil!H25+Aout!I24)</f>
        <v>28740</v>
      </c>
      <c r="K25" s="1">
        <f>SUM(Juil!K25+Aout!K24)</f>
        <v>624</v>
      </c>
      <c r="L25" s="1">
        <f>SUM(Juil!L25+Aout!L24)</f>
        <v>4040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>SUM(Janv!K27)</f>
        <v>2920</v>
      </c>
      <c r="L27">
        <f>SUM(Janv!L27)</f>
        <v>6043</v>
      </c>
    </row>
    <row r="28" spans="1:12" x14ac:dyDescent="0.25">
      <c r="J28" t="s">
        <v>26</v>
      </c>
      <c r="K28">
        <v>7538</v>
      </c>
      <c r="L28">
        <v>3488</v>
      </c>
    </row>
    <row r="29" spans="1:12" x14ac:dyDescent="0.25">
      <c r="J29" t="s">
        <v>27</v>
      </c>
    </row>
    <row r="30" spans="1:12" x14ac:dyDescent="0.25">
      <c r="J30" t="s">
        <v>23</v>
      </c>
      <c r="K30" s="1">
        <f>SUM(K25:K28)</f>
        <v>12925</v>
      </c>
      <c r="L30" s="1">
        <f>SUM(L25:L28)</f>
        <v>23259</v>
      </c>
    </row>
    <row r="36" spans="4:4" x14ac:dyDescent="0.25">
      <c r="D36" s="1"/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C134-A039-432A-9DB8-25AF20D220E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0"/>
  <sheetViews>
    <sheetView workbookViewId="0">
      <selection activeCell="K15" sqref="K15"/>
    </sheetView>
  </sheetViews>
  <sheetFormatPr baseColWidth="10" defaultRowHeight="15" x14ac:dyDescent="0.25"/>
  <cols>
    <col min="1" max="1" width="12.5703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6.42578125" customWidth="1"/>
    <col min="11" max="12" width="8.42578125" customWidth="1"/>
  </cols>
  <sheetData>
    <row r="1" spans="1:12" ht="27" thickBot="1" x14ac:dyDescent="0.45">
      <c r="A1" s="49" t="s">
        <v>15</v>
      </c>
      <c r="B1" s="49"/>
      <c r="C1" s="49"/>
      <c r="D1" s="49"/>
      <c r="E1" s="49"/>
      <c r="F1" s="49"/>
      <c r="G1" s="49"/>
      <c r="H1" s="13">
        <f>SUM(Janv!H1)</f>
        <v>2024</v>
      </c>
      <c r="I1" s="13"/>
      <c r="J1" s="13"/>
    </row>
    <row r="2" spans="1:12" ht="19.5" thickBot="1" x14ac:dyDescent="0.35">
      <c r="A2" s="8" t="s">
        <v>0</v>
      </c>
      <c r="B2" s="12" t="s">
        <v>1</v>
      </c>
      <c r="C2" s="9" t="s">
        <v>6</v>
      </c>
      <c r="D2" s="9" t="s">
        <v>2</v>
      </c>
      <c r="E2" s="48" t="s">
        <v>3</v>
      </c>
      <c r="F2" s="48"/>
      <c r="G2" s="48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45917</v>
      </c>
      <c r="B3" s="2" t="s">
        <v>86</v>
      </c>
      <c r="C3" s="6">
        <v>1</v>
      </c>
      <c r="D3" s="6">
        <v>81</v>
      </c>
      <c r="E3" s="6">
        <v>3</v>
      </c>
      <c r="F3" s="6">
        <v>11</v>
      </c>
      <c r="G3" s="6">
        <f>SUM(E3*60+F3)</f>
        <v>191</v>
      </c>
      <c r="H3" s="7">
        <f>SUM(D3/G3*60)</f>
        <v>25.445026178010473</v>
      </c>
      <c r="I3" s="7">
        <v>390</v>
      </c>
      <c r="J3" s="2"/>
      <c r="K3" s="6"/>
      <c r="L3" s="6">
        <v>81</v>
      </c>
    </row>
    <row r="4" spans="1:12" x14ac:dyDescent="0.25">
      <c r="A4" s="4">
        <v>45919</v>
      </c>
      <c r="B4" s="2" t="s">
        <v>87</v>
      </c>
      <c r="C4" s="6">
        <v>2</v>
      </c>
      <c r="D4" s="2">
        <v>101</v>
      </c>
      <c r="E4" s="2">
        <v>3</v>
      </c>
      <c r="F4" s="2">
        <v>51</v>
      </c>
      <c r="G4" s="2">
        <f t="shared" ref="G4:G23" si="0">SUM(E4*60+F4)</f>
        <v>231</v>
      </c>
      <c r="H4" s="3">
        <f t="shared" ref="H4:H23" si="1">SUM(D4/G4*60)</f>
        <v>26.233766233766236</v>
      </c>
      <c r="I4" s="7">
        <v>562</v>
      </c>
      <c r="J4" s="2"/>
      <c r="K4" s="2"/>
      <c r="L4" s="2">
        <v>101</v>
      </c>
    </row>
    <row r="5" spans="1:12" x14ac:dyDescent="0.25">
      <c r="A5" s="4">
        <v>45921</v>
      </c>
      <c r="B5" s="2" t="s">
        <v>88</v>
      </c>
      <c r="C5" s="6">
        <v>3</v>
      </c>
      <c r="D5" s="2">
        <v>73</v>
      </c>
      <c r="E5" s="2">
        <v>3</v>
      </c>
      <c r="F5" s="2">
        <v>20</v>
      </c>
      <c r="G5" s="2">
        <f t="shared" si="0"/>
        <v>200</v>
      </c>
      <c r="H5" s="3">
        <f t="shared" si="1"/>
        <v>21.9</v>
      </c>
      <c r="I5" s="3">
        <v>474</v>
      </c>
      <c r="J5" s="2"/>
      <c r="K5" s="2"/>
      <c r="L5" s="2">
        <v>73</v>
      </c>
    </row>
    <row r="6" spans="1:12" x14ac:dyDescent="0.25">
      <c r="A6" s="4">
        <v>45924</v>
      </c>
      <c r="B6" s="2" t="s">
        <v>89</v>
      </c>
      <c r="C6" s="6">
        <v>2</v>
      </c>
      <c r="D6" s="2">
        <v>83</v>
      </c>
      <c r="E6" s="2">
        <v>3</v>
      </c>
      <c r="F6" s="2">
        <v>10</v>
      </c>
      <c r="G6" s="2">
        <f t="shared" ref="G6" si="2">SUM(E6*60+F6)</f>
        <v>190</v>
      </c>
      <c r="H6" s="3">
        <f t="shared" ref="H6" si="3">SUM(D6/G6*60)</f>
        <v>26.210526315789476</v>
      </c>
      <c r="I6" s="3">
        <v>402</v>
      </c>
      <c r="J6" s="2"/>
      <c r="K6" s="2"/>
      <c r="L6" s="2">
        <v>83</v>
      </c>
    </row>
    <row r="7" spans="1:12" x14ac:dyDescent="0.25">
      <c r="A7" s="4">
        <v>45928</v>
      </c>
      <c r="B7" s="2" t="s">
        <v>90</v>
      </c>
      <c r="C7" s="6">
        <v>5</v>
      </c>
      <c r="D7" s="2">
        <v>79</v>
      </c>
      <c r="E7" s="2">
        <v>3</v>
      </c>
      <c r="F7" s="2">
        <v>14</v>
      </c>
      <c r="G7" s="2">
        <f t="shared" si="0"/>
        <v>194</v>
      </c>
      <c r="H7" s="3">
        <f t="shared" si="1"/>
        <v>24.432989690721648</v>
      </c>
      <c r="I7" s="3">
        <v>331</v>
      </c>
      <c r="J7" s="2"/>
      <c r="K7" s="2"/>
      <c r="L7" s="2">
        <v>79</v>
      </c>
    </row>
    <row r="8" spans="1:12" x14ac:dyDescent="0.25">
      <c r="A8" s="4">
        <v>45928</v>
      </c>
      <c r="B8" s="2" t="s">
        <v>91</v>
      </c>
      <c r="C8" s="6">
        <v>6</v>
      </c>
      <c r="D8" s="2">
        <v>19</v>
      </c>
      <c r="E8" s="2">
        <v>1</v>
      </c>
      <c r="F8" s="2">
        <v>16</v>
      </c>
      <c r="G8" s="2">
        <f t="shared" si="0"/>
        <v>76</v>
      </c>
      <c r="H8" s="3">
        <f t="shared" si="1"/>
        <v>15</v>
      </c>
      <c r="I8" s="3">
        <v>134</v>
      </c>
      <c r="J8" s="2" t="s">
        <v>92</v>
      </c>
      <c r="K8" s="2"/>
      <c r="L8" s="2"/>
    </row>
    <row r="9" spans="1:12" x14ac:dyDescent="0.25">
      <c r="A9" s="4"/>
      <c r="B9" s="2"/>
      <c r="C9" s="6">
        <v>7</v>
      </c>
      <c r="D9" s="2"/>
      <c r="E9" s="2"/>
      <c r="F9" s="2"/>
      <c r="G9" s="2">
        <f t="shared" si="0"/>
        <v>0</v>
      </c>
      <c r="H9" s="3" t="e">
        <f t="shared" si="1"/>
        <v>#DIV/0!</v>
      </c>
      <c r="I9" s="3"/>
      <c r="J9" s="2"/>
      <c r="K9" s="2"/>
      <c r="L9" s="2"/>
    </row>
    <row r="10" spans="1:12" x14ac:dyDescent="0.25">
      <c r="A10" s="4"/>
      <c r="B10" s="2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436</v>
      </c>
      <c r="I24" s="1">
        <f>SUM(I3:I23)</f>
        <v>2293</v>
      </c>
      <c r="K24" s="1">
        <f>SUM(K1:K23)</f>
        <v>0</v>
      </c>
      <c r="L24" s="1">
        <f>SUM(L1:L23)</f>
        <v>417</v>
      </c>
    </row>
    <row r="25" spans="1:12" x14ac:dyDescent="0.25">
      <c r="A25" t="s">
        <v>25</v>
      </c>
      <c r="B25">
        <f>SUM(Aout!B25+Sept!D24)</f>
        <v>5210.3</v>
      </c>
      <c r="H25" s="1">
        <f>SUM(Aout!H25+Sept!I24)</f>
        <v>31033</v>
      </c>
      <c r="K25" s="1">
        <f>SUM(Aout!K25+Sept!K24)</f>
        <v>624</v>
      </c>
      <c r="L25" s="1">
        <f>SUM(Aout!L25+Sept!L24)</f>
        <v>4457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>SUM(Janv!K27)</f>
        <v>2920</v>
      </c>
      <c r="L27">
        <f>SUM(Janv!L27)</f>
        <v>6043</v>
      </c>
    </row>
    <row r="28" spans="1:12" x14ac:dyDescent="0.25">
      <c r="J28" t="s">
        <v>26</v>
      </c>
      <c r="K28">
        <v>7538</v>
      </c>
      <c r="L28">
        <v>3488</v>
      </c>
    </row>
    <row r="29" spans="1:12" x14ac:dyDescent="0.25">
      <c r="J29" t="s">
        <v>27</v>
      </c>
    </row>
    <row r="30" spans="1:12" x14ac:dyDescent="0.25">
      <c r="J30" t="s">
        <v>23</v>
      </c>
      <c r="K30" s="1">
        <f>SUM(K25:K28)</f>
        <v>12925</v>
      </c>
      <c r="L30" s="1">
        <f>SUM(L25:L28)</f>
        <v>23676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0"/>
  <sheetViews>
    <sheetView workbookViewId="0">
      <selection activeCell="B5" sqref="B5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8.140625" customWidth="1"/>
  </cols>
  <sheetData>
    <row r="1" spans="1:12" ht="27" thickBot="1" x14ac:dyDescent="0.45">
      <c r="A1" s="49" t="s">
        <v>16</v>
      </c>
      <c r="B1" s="49"/>
      <c r="C1" s="49"/>
      <c r="D1" s="49"/>
      <c r="E1" s="49"/>
      <c r="F1" s="49"/>
      <c r="G1" s="49"/>
      <c r="H1" s="13">
        <f>SUM(Janv!H1)</f>
        <v>2024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48" t="s">
        <v>3</v>
      </c>
      <c r="F2" s="48"/>
      <c r="G2" s="48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45933</v>
      </c>
      <c r="B3" s="6" t="s">
        <v>93</v>
      </c>
      <c r="C3" s="6">
        <v>1</v>
      </c>
      <c r="D3" s="6">
        <v>84</v>
      </c>
      <c r="E3" s="6">
        <v>3</v>
      </c>
      <c r="F3" s="6">
        <v>34</v>
      </c>
      <c r="G3" s="6">
        <f>SUM(E3*60+F3)</f>
        <v>214</v>
      </c>
      <c r="H3" s="7">
        <f>SUM(D3/G3*60)</f>
        <v>23.551401869158877</v>
      </c>
      <c r="I3" s="7">
        <v>454</v>
      </c>
      <c r="J3" s="6"/>
      <c r="K3" s="6"/>
      <c r="L3" s="6">
        <v>84</v>
      </c>
    </row>
    <row r="4" spans="1:12" x14ac:dyDescent="0.25">
      <c r="A4" s="4">
        <v>45935</v>
      </c>
      <c r="B4" s="2" t="s">
        <v>94</v>
      </c>
      <c r="C4" s="6">
        <v>2</v>
      </c>
      <c r="D4" s="2">
        <v>54</v>
      </c>
      <c r="E4" s="2">
        <v>2</v>
      </c>
      <c r="F4" s="2">
        <v>13</v>
      </c>
      <c r="G4" s="2">
        <f t="shared" ref="G4:G23" si="0">SUM(E4*60+F4)</f>
        <v>133</v>
      </c>
      <c r="H4" s="3">
        <f t="shared" ref="H4:H23" si="1">SUM(D4/G4*60)</f>
        <v>24.360902255639097</v>
      </c>
      <c r="I4" s="7">
        <v>275</v>
      </c>
      <c r="J4" s="2"/>
      <c r="K4" s="2"/>
      <c r="L4" s="2">
        <v>54</v>
      </c>
    </row>
    <row r="5" spans="1:12" x14ac:dyDescent="0.25">
      <c r="A5" s="4">
        <v>45956</v>
      </c>
      <c r="B5" s="2" t="s">
        <v>95</v>
      </c>
      <c r="C5" s="6">
        <v>3</v>
      </c>
      <c r="D5" s="2">
        <v>62</v>
      </c>
      <c r="E5" s="2">
        <v>2</v>
      </c>
      <c r="F5" s="2">
        <v>27</v>
      </c>
      <c r="G5" s="2">
        <f t="shared" si="0"/>
        <v>147</v>
      </c>
      <c r="H5" s="3">
        <f t="shared" si="1"/>
        <v>25.306122448979593</v>
      </c>
      <c r="I5" s="3">
        <v>212</v>
      </c>
      <c r="J5" s="2"/>
      <c r="K5" s="2"/>
      <c r="L5" s="2">
        <v>62</v>
      </c>
    </row>
    <row r="6" spans="1:12" x14ac:dyDescent="0.25">
      <c r="A6" s="4"/>
      <c r="B6" s="2"/>
      <c r="C6" s="6">
        <v>4</v>
      </c>
      <c r="D6" s="2"/>
      <c r="E6" s="2"/>
      <c r="F6" s="2"/>
      <c r="G6" s="2">
        <f t="shared" si="0"/>
        <v>0</v>
      </c>
      <c r="H6" s="3" t="e">
        <f t="shared" si="1"/>
        <v>#DIV/0!</v>
      </c>
      <c r="I6" s="3"/>
      <c r="J6" s="2"/>
      <c r="K6" s="2"/>
      <c r="L6" s="2"/>
    </row>
    <row r="7" spans="1:12" x14ac:dyDescent="0.25">
      <c r="A7" s="4"/>
      <c r="B7" s="2"/>
      <c r="C7" s="6">
        <v>5</v>
      </c>
      <c r="D7" s="2"/>
      <c r="E7" s="2"/>
      <c r="F7" s="2"/>
      <c r="G7" s="2">
        <f t="shared" si="0"/>
        <v>0</v>
      </c>
      <c r="H7" s="3" t="e">
        <f t="shared" si="1"/>
        <v>#DIV/0!</v>
      </c>
      <c r="I7" s="3"/>
      <c r="J7" s="2"/>
      <c r="K7" s="2"/>
      <c r="L7" s="2"/>
    </row>
    <row r="8" spans="1:12" x14ac:dyDescent="0.25">
      <c r="A8" s="4"/>
      <c r="B8" s="2"/>
      <c r="C8" s="6">
        <v>6</v>
      </c>
      <c r="D8" s="2"/>
      <c r="E8" s="2"/>
      <c r="F8" s="2"/>
      <c r="G8" s="2">
        <f t="shared" si="0"/>
        <v>0</v>
      </c>
      <c r="H8" s="3" t="e">
        <f t="shared" si="1"/>
        <v>#DIV/0!</v>
      </c>
      <c r="I8" s="3"/>
      <c r="J8" s="2"/>
      <c r="K8" s="2"/>
      <c r="L8" s="2"/>
    </row>
    <row r="9" spans="1:12" x14ac:dyDescent="0.25">
      <c r="A9" s="4"/>
      <c r="B9" s="2"/>
      <c r="C9" s="6">
        <v>7</v>
      </c>
      <c r="D9" s="2"/>
      <c r="E9" s="2"/>
      <c r="F9" s="2"/>
      <c r="G9" s="2">
        <f t="shared" si="0"/>
        <v>0</v>
      </c>
      <c r="H9" s="3" t="e">
        <f t="shared" si="1"/>
        <v>#DIV/0!</v>
      </c>
      <c r="I9" s="3"/>
      <c r="J9" s="2"/>
      <c r="K9" s="2"/>
      <c r="L9" s="2"/>
    </row>
    <row r="10" spans="1:12" x14ac:dyDescent="0.25">
      <c r="A10" s="4"/>
      <c r="B10" s="19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200</v>
      </c>
      <c r="I24" s="1">
        <f>SUM(I3:I23)</f>
        <v>941</v>
      </c>
      <c r="K24" s="1">
        <f>SUM(K1:K23)</f>
        <v>0</v>
      </c>
      <c r="L24" s="1">
        <f>SUM(L1:L23)</f>
        <v>200</v>
      </c>
    </row>
    <row r="25" spans="1:12" x14ac:dyDescent="0.25">
      <c r="A25" t="s">
        <v>25</v>
      </c>
      <c r="B25">
        <f>SUM(Sept!B25+Oct!D24)</f>
        <v>5410.3</v>
      </c>
      <c r="H25" s="1">
        <f>SUM(Sept!H25+Oct!I24)</f>
        <v>31974</v>
      </c>
      <c r="K25" s="1">
        <f>SUM(Sept!K25+Oct!K24)</f>
        <v>624</v>
      </c>
      <c r="L25" s="1">
        <f>SUM(Sept!L25+Oct!L24)</f>
        <v>4657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>SUM(Janv!K27)</f>
        <v>2920</v>
      </c>
      <c r="L27">
        <f>SUM(Janv!L27)</f>
        <v>6043</v>
      </c>
    </row>
    <row r="28" spans="1:12" x14ac:dyDescent="0.25">
      <c r="J28" t="s">
        <v>26</v>
      </c>
      <c r="K28">
        <v>7538</v>
      </c>
      <c r="L28">
        <v>3488</v>
      </c>
    </row>
    <row r="29" spans="1:12" x14ac:dyDescent="0.25">
      <c r="J29" t="s">
        <v>27</v>
      </c>
    </row>
    <row r="30" spans="1:12" x14ac:dyDescent="0.25">
      <c r="J30" t="s">
        <v>23</v>
      </c>
      <c r="K30" s="1">
        <f>SUM(K25:K28)</f>
        <v>12925</v>
      </c>
      <c r="L30" s="1">
        <f>SUM(L25:L28)</f>
        <v>23876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6FF1-153C-458B-88C2-C4372E7108B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0"/>
  <sheetViews>
    <sheetView tabSelected="1" topLeftCell="B1" workbookViewId="0">
      <selection activeCell="L9" sqref="L9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8" customWidth="1"/>
  </cols>
  <sheetData>
    <row r="1" spans="1:12" ht="27" thickBot="1" x14ac:dyDescent="0.45">
      <c r="A1" s="49" t="s">
        <v>17</v>
      </c>
      <c r="B1" s="49"/>
      <c r="C1" s="49"/>
      <c r="D1" s="49"/>
      <c r="E1" s="49"/>
      <c r="F1" s="49"/>
      <c r="G1" s="49"/>
      <c r="H1" s="13">
        <f>SUM(Janv!H1)</f>
        <v>2024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48" t="s">
        <v>3</v>
      </c>
      <c r="F2" s="48"/>
      <c r="G2" s="48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45963</v>
      </c>
      <c r="B3" s="6" t="s">
        <v>96</v>
      </c>
      <c r="C3" s="6">
        <v>1</v>
      </c>
      <c r="D3" s="6">
        <v>73</v>
      </c>
      <c r="E3" s="6">
        <v>3</v>
      </c>
      <c r="F3" s="6">
        <v>7</v>
      </c>
      <c r="G3" s="6">
        <f>SUM(E3*60+F3)</f>
        <v>187</v>
      </c>
      <c r="H3" s="7">
        <f>SUM(D3/G3*60)</f>
        <v>23.422459893048128</v>
      </c>
      <c r="I3" s="7">
        <v>399</v>
      </c>
      <c r="J3" s="2"/>
      <c r="K3" s="6"/>
      <c r="L3" s="6">
        <v>73</v>
      </c>
    </row>
    <row r="4" spans="1:12" x14ac:dyDescent="0.25">
      <c r="A4" s="4">
        <v>45970</v>
      </c>
      <c r="B4" s="2" t="s">
        <v>97</v>
      </c>
      <c r="C4" s="6">
        <v>2</v>
      </c>
      <c r="D4" s="2">
        <v>72</v>
      </c>
      <c r="E4" s="2">
        <v>2</v>
      </c>
      <c r="F4" s="2">
        <v>58</v>
      </c>
      <c r="G4" s="2">
        <f>SUM(E4*60+F4)</f>
        <v>178</v>
      </c>
      <c r="H4" s="3">
        <f t="shared" ref="H4:H23" si="0">SUM(D4/G4*60)</f>
        <v>24.269662921348313</v>
      </c>
      <c r="I4" s="7">
        <v>415</v>
      </c>
      <c r="J4" s="2"/>
      <c r="K4" s="2"/>
      <c r="L4" s="2">
        <v>72</v>
      </c>
    </row>
    <row r="5" spans="1:12" x14ac:dyDescent="0.25">
      <c r="A5" s="4">
        <v>45977</v>
      </c>
      <c r="B5" s="2" t="s">
        <v>72</v>
      </c>
      <c r="C5" s="6">
        <v>3</v>
      </c>
      <c r="D5" s="2">
        <v>74</v>
      </c>
      <c r="E5" s="2">
        <v>3</v>
      </c>
      <c r="F5" s="2">
        <v>15</v>
      </c>
      <c r="G5" s="2">
        <f>SUM(E5*60+F5)</f>
        <v>195</v>
      </c>
      <c r="H5" s="3">
        <f t="shared" si="0"/>
        <v>22.769230769230766</v>
      </c>
      <c r="I5" s="3">
        <v>322</v>
      </c>
      <c r="J5" s="2"/>
      <c r="K5" s="2"/>
      <c r="L5" s="2">
        <v>74</v>
      </c>
    </row>
    <row r="6" spans="1:12" x14ac:dyDescent="0.25">
      <c r="A6" s="4">
        <v>45984</v>
      </c>
      <c r="B6" s="2" t="s">
        <v>98</v>
      </c>
      <c r="C6" s="6">
        <v>4</v>
      </c>
      <c r="D6" s="2">
        <v>65</v>
      </c>
      <c r="E6" s="2">
        <v>2</v>
      </c>
      <c r="F6" s="2">
        <v>49</v>
      </c>
      <c r="G6" s="2">
        <f t="shared" ref="G6:G23" si="1">SUM(E6*60+F6)</f>
        <v>169</v>
      </c>
      <c r="H6" s="3">
        <f t="shared" si="0"/>
        <v>23.076923076923077</v>
      </c>
      <c r="I6" s="3">
        <v>345</v>
      </c>
      <c r="J6" s="2"/>
      <c r="K6" s="2"/>
      <c r="L6" s="2">
        <v>65</v>
      </c>
    </row>
    <row r="7" spans="1:12" x14ac:dyDescent="0.25">
      <c r="A7" s="4"/>
      <c r="B7" s="2"/>
      <c r="C7" s="6">
        <v>5</v>
      </c>
      <c r="D7" s="2"/>
      <c r="E7" s="2"/>
      <c r="F7" s="2"/>
      <c r="G7" s="2">
        <f t="shared" si="1"/>
        <v>0</v>
      </c>
      <c r="H7" s="3" t="e">
        <f t="shared" si="0"/>
        <v>#DIV/0!</v>
      </c>
      <c r="I7" s="3"/>
      <c r="J7" s="2"/>
      <c r="K7" s="2"/>
      <c r="L7" s="2"/>
    </row>
    <row r="8" spans="1:12" x14ac:dyDescent="0.25">
      <c r="A8" s="4"/>
      <c r="B8" s="2"/>
      <c r="C8" s="6">
        <v>6</v>
      </c>
      <c r="D8" s="2"/>
      <c r="E8" s="2"/>
      <c r="F8" s="2"/>
      <c r="G8" s="2">
        <f t="shared" si="1"/>
        <v>0</v>
      </c>
      <c r="H8" s="3" t="e">
        <f t="shared" si="0"/>
        <v>#DIV/0!</v>
      </c>
      <c r="I8" s="3"/>
      <c r="J8" s="2"/>
      <c r="K8" s="2"/>
      <c r="L8" s="2"/>
    </row>
    <row r="9" spans="1:12" x14ac:dyDescent="0.25">
      <c r="A9" s="4"/>
      <c r="B9" s="2"/>
      <c r="C9" s="6">
        <v>7</v>
      </c>
      <c r="D9" s="2"/>
      <c r="E9" s="2"/>
      <c r="F9" s="2"/>
      <c r="G9" s="2">
        <f t="shared" si="1"/>
        <v>0</v>
      </c>
      <c r="H9" s="3" t="e">
        <f t="shared" si="0"/>
        <v>#DIV/0!</v>
      </c>
      <c r="I9" s="3"/>
      <c r="J9" s="2"/>
      <c r="K9" s="2"/>
      <c r="L9" s="2"/>
    </row>
    <row r="10" spans="1:12" x14ac:dyDescent="0.25">
      <c r="A10" s="4"/>
      <c r="B10" s="2"/>
      <c r="C10" s="6">
        <v>8</v>
      </c>
      <c r="D10" s="2"/>
      <c r="E10" s="2"/>
      <c r="F10" s="2"/>
      <c r="G10" s="2">
        <f t="shared" si="1"/>
        <v>0</v>
      </c>
      <c r="H10" s="3" t="e">
        <f t="shared" si="0"/>
        <v>#DIV/0!</v>
      </c>
      <c r="I10" s="7"/>
      <c r="J10" s="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1"/>
        <v>0</v>
      </c>
      <c r="H11" s="3" t="e">
        <f t="shared" si="0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1"/>
        <v>0</v>
      </c>
      <c r="H12" s="3" t="e">
        <f t="shared" si="0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3</v>
      </c>
      <c r="D13" s="2"/>
      <c r="E13" s="2"/>
      <c r="F13" s="2"/>
      <c r="G13" s="2">
        <f t="shared" si="1"/>
        <v>0</v>
      </c>
      <c r="H13" s="3" t="e">
        <f t="shared" si="0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1"/>
        <v>0</v>
      </c>
      <c r="H14" s="3" t="e">
        <f t="shared" si="0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1"/>
        <v>0</v>
      </c>
      <c r="H15" s="3" t="e">
        <f t="shared" si="0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1"/>
      <c r="F16" s="2"/>
      <c r="G16" s="2">
        <f t="shared" si="1"/>
        <v>0</v>
      </c>
      <c r="H16" s="3" t="e">
        <f t="shared" si="0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1"/>
        <v>0</v>
      </c>
      <c r="H17" s="3" t="e">
        <f t="shared" si="0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1"/>
        <v>0</v>
      </c>
      <c r="H18" s="3" t="e">
        <f t="shared" si="0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1"/>
        <v>0</v>
      </c>
      <c r="H19" s="3" t="e">
        <f t="shared" si="0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1"/>
        <v>0</v>
      </c>
      <c r="H20" s="3" t="e">
        <f t="shared" si="0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1"/>
        <v>0</v>
      </c>
      <c r="H21" s="3" t="e">
        <f t="shared" si="0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1"/>
        <v>0</v>
      </c>
      <c r="H22" s="3" t="e">
        <f t="shared" si="0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1"/>
        <v>0</v>
      </c>
      <c r="H23" s="3" t="e">
        <f t="shared" si="0"/>
        <v>#DIV/0!</v>
      </c>
      <c r="I23" s="3"/>
      <c r="J23" s="2"/>
      <c r="K23" s="2"/>
      <c r="L23" s="2"/>
    </row>
    <row r="24" spans="1:12" x14ac:dyDescent="0.25">
      <c r="D24">
        <f>SUM(D3:D23)</f>
        <v>284</v>
      </c>
      <c r="I24" s="1">
        <f>SUM(I3:I23)</f>
        <v>1481</v>
      </c>
      <c r="K24" s="1">
        <f>SUM(K1:K23)</f>
        <v>0</v>
      </c>
      <c r="L24" s="1">
        <f>SUM(L1:L23)</f>
        <v>284</v>
      </c>
    </row>
    <row r="25" spans="1:12" x14ac:dyDescent="0.25">
      <c r="A25" t="s">
        <v>25</v>
      </c>
      <c r="B25">
        <f>SUM(Oct!B25+Nov!D24)</f>
        <v>5694.3</v>
      </c>
      <c r="H25" s="1">
        <f>SUM(Oct!H25+Nov!I24)</f>
        <v>33455</v>
      </c>
      <c r="K25" s="1">
        <f>SUM(Oct!K25+Nov!K24)</f>
        <v>624</v>
      </c>
      <c r="L25" s="1">
        <f>SUM(Oct!L25+Nov!L24)</f>
        <v>4941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>SUM(Janv!K27)</f>
        <v>2920</v>
      </c>
      <c r="L27">
        <f>SUM(Janv!L27)</f>
        <v>6043</v>
      </c>
    </row>
    <row r="28" spans="1:12" x14ac:dyDescent="0.25">
      <c r="J28" t="s">
        <v>26</v>
      </c>
      <c r="K28">
        <v>7538</v>
      </c>
      <c r="L28">
        <v>3488</v>
      </c>
    </row>
    <row r="29" spans="1:12" x14ac:dyDescent="0.25">
      <c r="J29" t="s">
        <v>27</v>
      </c>
    </row>
    <row r="30" spans="1:12" x14ac:dyDescent="0.25">
      <c r="J30" t="s">
        <v>23</v>
      </c>
      <c r="K30" s="1">
        <f>SUM(K25:K28)</f>
        <v>12925</v>
      </c>
      <c r="L30" s="1">
        <f>SUM(L25:L28)</f>
        <v>24160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0"/>
  <sheetViews>
    <sheetView topLeftCell="A3" workbookViewId="0">
      <selection activeCell="A26" sqref="A26:XFD30"/>
    </sheetView>
  </sheetViews>
  <sheetFormatPr baseColWidth="10" defaultRowHeight="15" x14ac:dyDescent="0.25"/>
  <cols>
    <col min="1" max="1" width="12.5703125" customWidth="1"/>
    <col min="2" max="2" width="36.85546875" customWidth="1"/>
    <col min="3" max="3" width="3.7109375" customWidth="1"/>
    <col min="4" max="4" width="11.140625" customWidth="1"/>
    <col min="5" max="7" width="4.7109375" customWidth="1"/>
    <col min="8" max="8" width="10.140625" style="1" customWidth="1"/>
    <col min="9" max="9" width="8.5703125" style="1" customWidth="1"/>
    <col min="10" max="10" width="18.5703125" customWidth="1"/>
    <col min="11" max="11" width="8.42578125" customWidth="1"/>
    <col min="12" max="12" width="7.7109375" customWidth="1"/>
  </cols>
  <sheetData>
    <row r="1" spans="1:12" ht="27" thickBot="1" x14ac:dyDescent="0.45">
      <c r="A1" s="49" t="s">
        <v>18</v>
      </c>
      <c r="B1" s="49"/>
      <c r="C1" s="49"/>
      <c r="D1" s="49"/>
      <c r="E1" s="49"/>
      <c r="F1" s="49"/>
      <c r="G1" s="49"/>
      <c r="H1" s="13">
        <f>SUM(Janv!H1)</f>
        <v>2024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48" t="s">
        <v>3</v>
      </c>
      <c r="F2" s="48"/>
      <c r="G2" s="48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/>
      <c r="B3" s="6"/>
      <c r="C3" s="6">
        <v>1</v>
      </c>
      <c r="D3" s="6"/>
      <c r="E3" s="6"/>
      <c r="F3" s="6"/>
      <c r="G3" s="6">
        <f>SUM(E3*60+F3)</f>
        <v>0</v>
      </c>
      <c r="H3" s="7" t="e">
        <f>SUM(D3/G3*60)</f>
        <v>#DIV/0!</v>
      </c>
      <c r="I3" s="7"/>
      <c r="J3" s="6"/>
      <c r="K3" s="6"/>
      <c r="L3" s="6"/>
    </row>
    <row r="4" spans="1:12" x14ac:dyDescent="0.25">
      <c r="A4" s="4"/>
      <c r="B4" s="2"/>
      <c r="C4" s="6">
        <v>2</v>
      </c>
      <c r="D4" s="2"/>
      <c r="E4" s="2"/>
      <c r="F4" s="2"/>
      <c r="G4" s="2">
        <f t="shared" ref="G4:G23" si="0">SUM(E4*60+F4)</f>
        <v>0</v>
      </c>
      <c r="H4" s="3" t="e">
        <f t="shared" ref="H4:H23" si="1">SUM(D4/G4*60)</f>
        <v>#DIV/0!</v>
      </c>
      <c r="I4" s="7"/>
      <c r="J4" s="6"/>
      <c r="K4" s="2"/>
      <c r="L4" s="2"/>
    </row>
    <row r="5" spans="1:12" x14ac:dyDescent="0.25">
      <c r="A5" s="4"/>
      <c r="B5" s="2"/>
      <c r="C5" s="6">
        <v>3</v>
      </c>
      <c r="D5" s="2"/>
      <c r="E5" s="2"/>
      <c r="F5" s="2"/>
      <c r="G5" s="2">
        <f t="shared" si="0"/>
        <v>0</v>
      </c>
      <c r="H5" s="3" t="e">
        <f t="shared" si="1"/>
        <v>#DIV/0!</v>
      </c>
      <c r="I5" s="3"/>
      <c r="J5" s="2"/>
      <c r="K5" s="2"/>
      <c r="L5" s="2"/>
    </row>
    <row r="6" spans="1:12" s="28" customFormat="1" x14ac:dyDescent="0.25">
      <c r="A6" s="23"/>
      <c r="B6" s="24"/>
      <c r="C6" s="25">
        <v>4</v>
      </c>
      <c r="D6" s="24"/>
      <c r="E6" s="24"/>
      <c r="F6" s="24"/>
      <c r="G6" s="24">
        <f t="shared" si="0"/>
        <v>0</v>
      </c>
      <c r="H6" s="26" t="e">
        <f t="shared" si="1"/>
        <v>#DIV/0!</v>
      </c>
      <c r="I6" s="26"/>
      <c r="J6" s="24"/>
      <c r="K6" s="2"/>
      <c r="L6" s="2"/>
    </row>
    <row r="7" spans="1:12" s="28" customFormat="1" x14ac:dyDescent="0.25">
      <c r="A7" s="23"/>
      <c r="B7" s="24"/>
      <c r="C7" s="25">
        <v>5</v>
      </c>
      <c r="D7" s="24"/>
      <c r="E7" s="24"/>
      <c r="F7" s="24"/>
      <c r="G7" s="24">
        <f t="shared" si="0"/>
        <v>0</v>
      </c>
      <c r="H7" s="26" t="e">
        <f t="shared" si="1"/>
        <v>#DIV/0!</v>
      </c>
      <c r="I7" s="26"/>
      <c r="J7" s="24"/>
      <c r="K7" s="2"/>
      <c r="L7" s="2"/>
    </row>
    <row r="8" spans="1:12" s="28" customFormat="1" x14ac:dyDescent="0.25">
      <c r="A8" s="23"/>
      <c r="B8" s="24"/>
      <c r="C8" s="25">
        <v>6</v>
      </c>
      <c r="D8" s="24"/>
      <c r="E8" s="24"/>
      <c r="F8" s="24"/>
      <c r="G8" s="24">
        <f t="shared" si="0"/>
        <v>0</v>
      </c>
      <c r="H8" s="26" t="e">
        <f t="shared" si="1"/>
        <v>#DIV/0!</v>
      </c>
      <c r="I8" s="26"/>
      <c r="J8" s="24"/>
      <c r="K8" s="2"/>
      <c r="L8" s="2"/>
    </row>
    <row r="9" spans="1:12" s="28" customFormat="1" x14ac:dyDescent="0.25">
      <c r="A9" s="23"/>
      <c r="B9" s="25"/>
      <c r="C9" s="25">
        <v>7</v>
      </c>
      <c r="D9" s="24"/>
      <c r="E9" s="24"/>
      <c r="F9" s="24"/>
      <c r="G9" s="24">
        <f t="shared" si="0"/>
        <v>0</v>
      </c>
      <c r="H9" s="26" t="e">
        <f t="shared" si="1"/>
        <v>#DIV/0!</v>
      </c>
      <c r="I9" s="26"/>
      <c r="J9" s="24"/>
      <c r="K9" s="2"/>
      <c r="L9" s="2"/>
    </row>
    <row r="10" spans="1:12" s="28" customFormat="1" x14ac:dyDescent="0.25">
      <c r="A10" s="23"/>
      <c r="B10" s="24"/>
      <c r="C10" s="25">
        <v>8</v>
      </c>
      <c r="D10" s="24"/>
      <c r="E10" s="24"/>
      <c r="F10" s="24"/>
      <c r="G10" s="24">
        <f t="shared" si="0"/>
        <v>0</v>
      </c>
      <c r="H10" s="26" t="e">
        <f t="shared" si="1"/>
        <v>#DIV/0!</v>
      </c>
      <c r="I10" s="27"/>
      <c r="J10" s="25"/>
      <c r="K10" s="2"/>
      <c r="L10" s="2"/>
    </row>
    <row r="11" spans="1:12" s="28" customFormat="1" x14ac:dyDescent="0.25">
      <c r="A11" s="23"/>
      <c r="B11" s="24"/>
      <c r="C11" s="25">
        <v>9</v>
      </c>
      <c r="D11" s="24"/>
      <c r="E11" s="24"/>
      <c r="F11" s="24"/>
      <c r="G11" s="24">
        <f t="shared" si="0"/>
        <v>0</v>
      </c>
      <c r="H11" s="26" t="e">
        <f t="shared" si="1"/>
        <v>#DIV/0!</v>
      </c>
      <c r="I11" s="26"/>
      <c r="J11" s="24"/>
      <c r="K11" s="2"/>
      <c r="L11" s="2"/>
    </row>
    <row r="12" spans="1:12" s="28" customFormat="1" x14ac:dyDescent="0.25">
      <c r="A12" s="23"/>
      <c r="B12" s="24"/>
      <c r="C12" s="25">
        <v>10</v>
      </c>
      <c r="D12" s="24"/>
      <c r="E12" s="24"/>
      <c r="F12" s="24"/>
      <c r="G12" s="24">
        <f t="shared" si="0"/>
        <v>0</v>
      </c>
      <c r="H12" s="26" t="e">
        <f t="shared" si="1"/>
        <v>#DIV/0!</v>
      </c>
      <c r="I12" s="26"/>
      <c r="J12" s="24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/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0</v>
      </c>
      <c r="I24" s="1">
        <f>SUM(I3:I23)</f>
        <v>0</v>
      </c>
      <c r="K24" s="1">
        <f>SUM(K1:K23)</f>
        <v>0</v>
      </c>
      <c r="L24" s="1">
        <f>SUM(L1:L23)</f>
        <v>0</v>
      </c>
    </row>
    <row r="25" spans="1:12" x14ac:dyDescent="0.25">
      <c r="A25" t="s">
        <v>25</v>
      </c>
      <c r="B25">
        <f>SUM(Nov!B25+Déc!D24)</f>
        <v>5694.3</v>
      </c>
      <c r="H25" s="1">
        <f>SUM(Nov!H25+Déc!I24)</f>
        <v>33455</v>
      </c>
      <c r="K25" s="1">
        <f>SUM(Nov!K25+Déc!K24)</f>
        <v>624</v>
      </c>
      <c r="L25" s="1">
        <f>SUM(Nov!L25+Déc!L24)</f>
        <v>4941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>SUM(Janv!K27)</f>
        <v>2920</v>
      </c>
      <c r="L27">
        <f>SUM(Janv!L27)</f>
        <v>6043</v>
      </c>
    </row>
    <row r="28" spans="1:12" x14ac:dyDescent="0.25">
      <c r="J28" t="s">
        <v>26</v>
      </c>
      <c r="K28">
        <v>7538</v>
      </c>
      <c r="L28">
        <v>3488</v>
      </c>
    </row>
    <row r="29" spans="1:12" x14ac:dyDescent="0.25">
      <c r="J29" t="s">
        <v>27</v>
      </c>
    </row>
    <row r="30" spans="1:12" x14ac:dyDescent="0.25">
      <c r="J30" t="s">
        <v>23</v>
      </c>
      <c r="K30" s="1">
        <f>SUM(K25:K28)</f>
        <v>12925</v>
      </c>
      <c r="L30" s="1">
        <f>SUM(L25:L28)</f>
        <v>24160</v>
      </c>
    </row>
  </sheetData>
  <mergeCells count="2">
    <mergeCell ref="E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Janv</vt:lpstr>
      <vt:lpstr>Fév</vt:lpstr>
      <vt:lpstr>Mar</vt:lpstr>
      <vt:lpstr>Avr</vt:lpstr>
      <vt:lpstr>Mai</vt:lpstr>
      <vt:lpstr>Juin</vt:lpstr>
      <vt:lpstr>Juil</vt:lpstr>
      <vt:lpstr>Aout</vt:lpstr>
      <vt:lpstr>Feuil1</vt:lpstr>
      <vt:lpstr>Sept</vt:lpstr>
      <vt:lpstr>Oct</vt:lpstr>
      <vt:lpstr>Feuil2</vt:lpstr>
      <vt:lpstr>Nov</vt:lpstr>
      <vt:lpstr>Déc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</dc:creator>
  <cp:lastModifiedBy>patrice.gouadon@outlook.fr</cp:lastModifiedBy>
  <dcterms:created xsi:type="dcterms:W3CDTF">2015-01-07T20:15:24Z</dcterms:created>
  <dcterms:modified xsi:type="dcterms:W3CDTF">2025-01-05T14:46:34Z</dcterms:modified>
</cp:coreProperties>
</file>