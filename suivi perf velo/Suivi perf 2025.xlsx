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548F7593-24D1-4305-9B04-6B4432CF7E07}" xr6:coauthVersionLast="47" xr6:coauthVersionMax="47" xr10:uidLastSave="{00000000-0000-0000-0000-000000000000}"/>
  <bookViews>
    <workbookView xWindow="14295" yWindow="0" windowWidth="14610" windowHeight="15585" firstSheet="5" activeTab="11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  <sheet name="Feuil1" sheetId="13" r:id="rId13"/>
    <sheet name="Feuil2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4" i="7"/>
  <c r="H15" i="7"/>
  <c r="H16" i="7"/>
  <c r="H17" i="7"/>
  <c r="H18" i="7"/>
  <c r="H19" i="7"/>
  <c r="H20" i="7"/>
  <c r="H21" i="7"/>
  <c r="H22" i="7"/>
  <c r="H23" i="7"/>
  <c r="H3" i="6"/>
  <c r="H4" i="6"/>
  <c r="H5" i="6"/>
  <c r="H6" i="6"/>
  <c r="H7" i="6"/>
  <c r="H8" i="6"/>
  <c r="H9" i="6"/>
  <c r="H10" i="6"/>
  <c r="H11" i="6"/>
  <c r="H12" i="6"/>
  <c r="H13" i="6"/>
  <c r="H14" i="6"/>
  <c r="H16" i="6"/>
  <c r="H17" i="6"/>
  <c r="H18" i="6"/>
  <c r="H19" i="6"/>
  <c r="H20" i="6"/>
  <c r="H21" i="6"/>
  <c r="H22" i="6"/>
  <c r="H23" i="6"/>
  <c r="H15" i="6"/>
  <c r="G7" i="7"/>
  <c r="D24" i="8"/>
  <c r="G3" i="1"/>
  <c r="G23" i="7" l="1"/>
  <c r="G22" i="7"/>
  <c r="G21" i="7"/>
  <c r="G20" i="7"/>
  <c r="G19" i="7"/>
  <c r="G18" i="7"/>
  <c r="G17" i="7"/>
  <c r="G16" i="7"/>
  <c r="G15" i="7"/>
  <c r="G14" i="7"/>
  <c r="G13" i="7"/>
  <c r="H13" i="7" s="1"/>
  <c r="G12" i="7"/>
  <c r="G11" i="7"/>
  <c r="G10" i="7"/>
  <c r="G9" i="7"/>
  <c r="G8" i="7"/>
  <c r="G6" i="7"/>
  <c r="G5" i="7"/>
  <c r="G4" i="7"/>
  <c r="G3" i="7"/>
  <c r="D24" i="7"/>
  <c r="I24" i="7"/>
  <c r="K24" i="7"/>
  <c r="L24" i="7"/>
  <c r="L24" i="12" l="1"/>
  <c r="K24" i="12"/>
  <c r="L24" i="11"/>
  <c r="K24" i="11"/>
  <c r="L24" i="10"/>
  <c r="K24" i="10"/>
  <c r="L24" i="9"/>
  <c r="K24" i="9"/>
  <c r="L24" i="8"/>
  <c r="K24" i="8"/>
  <c r="G23" i="6"/>
  <c r="G9" i="6"/>
  <c r="L24" i="6"/>
  <c r="K24" i="6"/>
  <c r="L24" i="5"/>
  <c r="K24" i="5"/>
  <c r="L24" i="4"/>
  <c r="K24" i="4"/>
  <c r="L24" i="3"/>
  <c r="K24" i="3"/>
  <c r="L24" i="2"/>
  <c r="K24" i="2"/>
  <c r="L24" i="1"/>
  <c r="L25" i="1" s="1"/>
  <c r="L25" i="2" s="1"/>
  <c r="K24" i="1"/>
  <c r="K25" i="1" s="1"/>
  <c r="K25" i="2" l="1"/>
  <c r="K25" i="3" s="1"/>
  <c r="K25" i="4" s="1"/>
  <c r="K25" i="5" s="1"/>
  <c r="K25" i="6" s="1"/>
  <c r="L25" i="3"/>
  <c r="L25" i="4" s="1"/>
  <c r="L25" i="5" s="1"/>
  <c r="L25" i="6" s="1"/>
  <c r="G3" i="10"/>
  <c r="G12" i="8" l="1"/>
  <c r="H12" i="8" s="1"/>
  <c r="G7" i="8"/>
  <c r="H7" i="8" s="1"/>
  <c r="I24" i="11"/>
  <c r="I24" i="10"/>
  <c r="I24" i="9"/>
  <c r="I24" i="8"/>
  <c r="I24" i="6"/>
  <c r="I24" i="5"/>
  <c r="I24" i="4"/>
  <c r="I24" i="3"/>
  <c r="I24" i="2"/>
  <c r="I24" i="1"/>
  <c r="H25" i="1" s="1"/>
  <c r="H25" i="5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G20" i="6"/>
  <c r="G19" i="6"/>
  <c r="G18" i="6"/>
  <c r="G17" i="6"/>
  <c r="G16" i="6"/>
  <c r="G15" i="6"/>
  <c r="G13" i="6"/>
  <c r="G12" i="6"/>
  <c r="G11" i="6"/>
  <c r="G10" i="6"/>
  <c r="G8" i="6"/>
  <c r="G7" i="6"/>
  <c r="G6" i="6"/>
  <c r="G5" i="6"/>
  <c r="G4" i="6"/>
  <c r="G3" i="6"/>
  <c r="G13" i="4"/>
  <c r="H13" i="4" s="1"/>
  <c r="H3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G23" i="8"/>
  <c r="H23" i="8" s="1"/>
  <c r="H22" i="8"/>
  <c r="H20" i="8"/>
  <c r="D24" i="6"/>
  <c r="G22" i="6"/>
  <c r="G21" i="6"/>
  <c r="D24" i="5"/>
  <c r="H21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H25" i="4" l="1"/>
  <c r="H25" i="3"/>
  <c r="H25" i="6"/>
  <c r="H25" i="2"/>
  <c r="B25" i="2"/>
  <c r="B25" i="3" s="1"/>
  <c r="B25" i="4" s="1"/>
  <c r="B25" i="5" s="1"/>
  <c r="B25" i="6" s="1"/>
  <c r="B25" i="7" l="1"/>
  <c r="H25" i="7"/>
  <c r="H25" i="8" s="1"/>
  <c r="B25" i="8" l="1"/>
  <c r="B25" i="9" s="1"/>
  <c r="B25" i="10" s="1"/>
  <c r="B25" i="11" s="1"/>
  <c r="B25" i="12" s="1"/>
  <c r="H25" i="9"/>
  <c r="H25" i="10" s="1"/>
  <c r="H25" i="11" s="1"/>
  <c r="H25" i="12" s="1"/>
  <c r="K25" i="7"/>
  <c r="L25" i="7"/>
  <c r="K25" i="8" l="1"/>
  <c r="K25" i="9" s="1"/>
  <c r="L25" i="8"/>
  <c r="L25" i="9" s="1"/>
  <c r="K25" i="10" l="1"/>
  <c r="L25" i="10"/>
  <c r="K25" i="11" l="1"/>
  <c r="L25" i="11"/>
  <c r="K25" i="12" l="1"/>
  <c r="L25" i="12"/>
  <c r="K30" i="5"/>
  <c r="K27" i="5"/>
  <c r="L30" i="7"/>
  <c r="L27" i="7"/>
  <c r="K30" i="4"/>
  <c r="K27" i="4"/>
  <c r="L30" i="2"/>
  <c r="L27" i="2"/>
  <c r="L30" i="9"/>
  <c r="L27" i="9"/>
  <c r="K30" i="6"/>
  <c r="K27" i="6"/>
  <c r="L30" i="10"/>
  <c r="L27" i="10"/>
  <c r="L30" i="8"/>
  <c r="L27" i="8"/>
  <c r="K30" i="2"/>
  <c r="K27" i="2"/>
  <c r="K30" i="8"/>
  <c r="K27" i="8"/>
  <c r="L30" i="3"/>
  <c r="L27" i="3"/>
  <c r="L30" i="12"/>
  <c r="L27" i="12"/>
  <c r="L30" i="6"/>
  <c r="L27" i="6"/>
  <c r="K30" i="9"/>
  <c r="K27" i="9"/>
  <c r="L30" i="4"/>
  <c r="L27" i="4"/>
  <c r="K30" i="1"/>
  <c r="L30" i="1"/>
  <c r="K27" i="12"/>
  <c r="K30" i="12"/>
  <c r="L27" i="11"/>
  <c r="L30" i="11"/>
  <c r="K27" i="10"/>
  <c r="K30" i="10"/>
  <c r="K27" i="11"/>
  <c r="K30" i="11"/>
  <c r="K27" i="7"/>
  <c r="K30" i="7"/>
  <c r="L27" i="1"/>
  <c r="L27" i="5"/>
  <c r="L30" i="5"/>
  <c r="K27" i="1"/>
  <c r="K27" i="3"/>
  <c r="K30" i="3"/>
</calcChain>
</file>

<file path=xl/sharedStrings.xml><?xml version="1.0" encoding="utf-8"?>
<sst xmlns="http://schemas.openxmlformats.org/spreadsheetml/2006/main" count="292" uniqueCount="115">
  <si>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</si>
  <si>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</si>
  <si>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</si>
  <si>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</si>
  <si>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</si>
  <si>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</si>
  <si>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</si>
  <si>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</si>
  <si>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</si>
  <si>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</si>
  <si>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</si>
  <si>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</si>
  <si>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</si>
  <si>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</si>
  <si>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</si>
  <si>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</si>
  <si>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</si>
  <si>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</si>
  <si>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</si>
  <si>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</si>
  <si>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Brochard</t>
  </si>
  <si>
    <t>S1NEO</t>
  </si>
  <si>
    <t>Année 2021</t>
  </si>
  <si>
    <t>KM total</t>
  </si>
  <si>
    <t>Année 2022</t>
  </si>
  <si>
    <t>Année 2023</t>
  </si>
  <si>
    <t>Km total 2025</t>
  </si>
  <si>
    <t>Année 2024</t>
  </si>
  <si>
    <t>Avoine Paris Buton les Loges</t>
  </si>
  <si>
    <t>Avoine Rivarenne Azay Panzoult</t>
  </si>
  <si>
    <t>Avoine Messemé</t>
  </si>
  <si>
    <t>Avoine Bréhémont Vallère Rivarenne</t>
  </si>
  <si>
    <t xml:space="preserve">Avoine </t>
  </si>
  <si>
    <t>Avoine Bourgueil les Essarts Langeais</t>
  </si>
  <si>
    <t>Avoine Couesnes Champigny IB Cravant </t>
  </si>
  <si>
    <t>Avoine Candes Brain Parçay Bourgueil</t>
  </si>
  <si>
    <t>Chinon Chaveigne Marigny Port IB</t>
  </si>
  <si>
    <t>Chinon St Benoit Azay Saché St Epain</t>
  </si>
  <si>
    <t>Chinon Gizeux Hommes Langeais</t>
  </si>
  <si>
    <t>Chinon Nueil Saché Savonnière</t>
  </si>
  <si>
    <t>Rando Roue tourangelle 2025</t>
  </si>
  <si>
    <t>Chinon Panzoult Azay Druye Bréhémont</t>
  </si>
  <si>
    <t>vent très fort</t>
  </si>
  <si>
    <t>Avoine Bournand Beuxes</t>
  </si>
  <si>
    <t>Chinon Azay Thilouze Crissay</t>
  </si>
  <si>
    <t>Avoine Azay Artannes Balan Savonnière</t>
  </si>
  <si>
    <t>Chinon Audax 100 2025</t>
  </si>
  <si>
    <t>Chinon Bourgueil Continvoir Parçay Vernoil</t>
  </si>
  <si>
    <t>Avoine Saumur Gennes Saumur</t>
  </si>
  <si>
    <t>Avoine Bourgueil Hommes Langeais</t>
  </si>
  <si>
    <t>Chinon IB Rilly Marcilly IB</t>
  </si>
  <si>
    <t>Avoine Ceaux Maulay Veniers 3 Moutiers</t>
  </si>
  <si>
    <t>Chinon Courléon Avrillé Mazière 5 Mars St Benoit</t>
  </si>
  <si>
    <t>Chinon IB Rilly Draché Les Coteaux St Maure</t>
  </si>
  <si>
    <t>Chinon Bourgueil Rillé Avrillé Langeais</t>
  </si>
  <si>
    <t>Avoine Bourgueil Avrillé Langeais</t>
  </si>
  <si>
    <t>Avoine Saumur Trèves Meigné Coudray Roiffé</t>
  </si>
  <si>
    <t>Audax 2000 Chinon</t>
  </si>
  <si>
    <t>Chinon Fontevraud Chaintre Douvy St Léger</t>
  </si>
  <si>
    <t>Avoine Marçay Basse Insay Bisay</t>
  </si>
  <si>
    <t>Chinon Chaintre Courchamps MB Roiffé</t>
  </si>
  <si>
    <t>Avoine 3 Moutiers Ternay Berrie Brézé</t>
  </si>
  <si>
    <t>Chinon Lerné Roiffé Montreuil Bron Riou</t>
  </si>
  <si>
    <t>Chinon Richelieu Luzé Pouzay Cravant</t>
  </si>
  <si>
    <t>Avoine Saumur les Ulmes Coudray</t>
  </si>
  <si>
    <t>Condat jour 1</t>
  </si>
  <si>
    <t>Condat jour 2</t>
  </si>
  <si>
    <t>Condat jour 3</t>
  </si>
  <si>
    <t>Condat jour 4</t>
  </si>
  <si>
    <t>Condat jour 5</t>
  </si>
  <si>
    <t>Chinon Lerné Basse Claunay Richelieu</t>
  </si>
  <si>
    <t>avoine</t>
  </si>
  <si>
    <t>Avoine Marcay Charrière M Guesne Nueil Champigny</t>
  </si>
  <si>
    <t>Cinq-Mars-la-Pile Avoine</t>
  </si>
  <si>
    <t>Avoine Savonnière Azay</t>
  </si>
  <si>
    <t>Avoine Saumur</t>
  </si>
  <si>
    <t>Avoine St Epain Pont Ruant Azay</t>
  </si>
  <si>
    <t>Avoine Cinq Mars</t>
  </si>
  <si>
    <t>Avoine Munet Courchamps MB Fontevraud</t>
  </si>
  <si>
    <t>Avoine Roiffé Bizay Chétigné Chaintre Montsoreau</t>
  </si>
  <si>
    <t>Avoine Courléon Vernantes Blou Allonnes</t>
  </si>
  <si>
    <t>Avoine Cande Chacé chétigné Riou Saumur</t>
  </si>
  <si>
    <t>Avoine st Nicolas Mouliherne Blou</t>
  </si>
  <si>
    <t>Chinon Ceaux Nueil Faye IB</t>
  </si>
  <si>
    <t>Avoine Vernoil Lignière Mouliherne Longué Saumur</t>
  </si>
  <si>
    <t>Avoine Allonne Blou Les Loges Bourgueil</t>
  </si>
  <si>
    <t>Avoine Marcay Champigny Tour St Gelin IB</t>
  </si>
  <si>
    <t>Chinon Epennes Mouterre Chalais Rossay</t>
  </si>
  <si>
    <t>Avoine Marçay Messemé Charrière Nouère Samarçolles</t>
  </si>
  <si>
    <t>Melesse Canal ille et Rance</t>
  </si>
  <si>
    <t>Chinon Bournand Sammarçolle Ceaux La Tour IB</t>
  </si>
  <si>
    <t>Avoine Chaintre Courchamps Roiffé</t>
  </si>
  <si>
    <t>Avoine Balade Evelyne</t>
  </si>
  <si>
    <t>Chinon Lerné Epennes Ceaux La Tour IB</t>
  </si>
  <si>
    <t>Avoine Couziers Chaintre Courchamps Roux</t>
  </si>
  <si>
    <t>Avoine Lignière Druye Rivarennes</t>
  </si>
  <si>
    <t>Chinon Ingrandes Avrille Merluche Langeais</t>
  </si>
  <si>
    <t>Chinon Richelieu Marigny Marcilly IB</t>
  </si>
  <si>
    <t>Avoine St Epain Villeperdue Ballan Savonnière</t>
  </si>
  <si>
    <t>Chinon Rigny Azay Saché Thilouze Crissay</t>
  </si>
  <si>
    <t>Chinon Rigny Villandry Artannes panzoult</t>
  </si>
  <si>
    <t>Chinon Couziers Chacé Douvy Roiffé</t>
  </si>
  <si>
    <t>Chinon Bournand Samarçolle Marçay</t>
  </si>
  <si>
    <t>Chinon Lerné Epennes Claunay Ligré</t>
  </si>
  <si>
    <t>Chinon Couziers 3 Moutiers Verniers Marçay</t>
  </si>
  <si>
    <t>Chinon St Epain Vilaine Bréhémont Huismes</t>
  </si>
  <si>
    <t>Chinon Courléon La Breille Alonnes Candes</t>
  </si>
  <si>
    <t>Avoine Bournand Sammarçolle Ceaux Chinon</t>
  </si>
  <si>
    <t>Chinon Lerné Roiffé Bournand Beuxes Marçay</t>
  </si>
  <si>
    <t>Chinon Roiffé Bernazay Ceaux</t>
  </si>
  <si>
    <t>Avoine Langeais Gizeux bourgueil</t>
  </si>
  <si>
    <t>Avoine Bourgueil Les Essarts Langeais</t>
  </si>
  <si>
    <t>Chinon Bournand Messemé Beuxes</t>
  </si>
  <si>
    <t>Chinon Dampierre St Cyr Roiffé</t>
  </si>
  <si>
    <t>Avoine Marçay Sammarçolles Bournand Couziers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</si>
</sst>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16" fontId="0" fillId="0" borderId="1" xfId="0" applyNumberFormat="1" applyBorder="1"/>
    <xf numFmtId="0" fontId="4" fillId="2" borderId="0" xfId="0" applyFont="1" applyFill="1"/>
    <xf numFmtId="0" fontId="0" fillId="0" borderId="9" xfId="0" applyBorder="1"/>
    <xf numFmtId="0" fontId="5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2" fillId="0" borderId="8" xfId="0" applyFont="1" applyBorder="1"/>
    <xf numFmtId="0" fontId="0" fillId="0" borderId="10" xfId="0" applyBorder="1"/>
    <xf numFmtId="16" fontId="0" fillId="0" borderId="11" xfId="0" applyNumberFormat="1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Border="1"/>
    <xf numFmtId="14" fontId="0" fillId="2" borderId="2" xfId="0" applyNumberFormat="1" applyFill="1" applyBorder="1"/>
    <xf numFmtId="14" fontId="3" fillId="0" borderId="1" xfId="0" applyNumberFormat="1" applyFont="1" applyBorder="1"/>
    <xf numFmtId="0" fontId="3" fillId="0" borderId="2" xfId="0" applyFont="1" applyBorder="1"/>
    <xf numFmtId="164" fontId="3" fillId="0" borderId="1" xfId="0" applyNumberFormat="1" applyFont="1" applyBorder="1"/>
    <xf numFmtId="0" fontId="5" fillId="0" borderId="1" xfId="0" applyFont="1" applyBorder="1"/>
    <xf numFmtId="0" fontId="5" fillId="0" borderId="2" xfId="0" applyFont="1" applyBorder="1"/>
    <xf numFmtId="164" fontId="5" fillId="0" borderId="1" xfId="0" applyNumberFormat="1" applyFont="1" applyBorder="1"/>
    <xf numFmtId="164" fontId="5" fillId="0" borderId="2" xfId="0" applyNumberFormat="1" applyFont="1" applyBorder="1"/>
    <xf numFmtId="14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9" fillId="2" borderId="1" xfId="0" applyFont="1" applyFill="1" applyBorder="1"/>
    <xf numFmtId="0" fontId="0" fillId="3" borderId="2" xfId="0" applyFill="1" applyBorder="1"/>
    <xf numFmtId="164" fontId="0" fillId="3" borderId="1" xfId="0" applyNumberFormat="1" applyFill="1" applyBorder="1"/>
    <xf numFmtId="0" fontId="10" fillId="0" borderId="0" xfId="0" applyFont="1"/>
    <xf numFmtId="0" fontId="9" fillId="0" borderId="1" xfId="0" applyFont="1" applyBorder="1"/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B1" workbookViewId="0">
      <selection activeCell="K9" sqref="K9"/>
    </sheetView>
  </sheetViews>
  <sheetFormatPr baseColWidth="10" defaultRowHeight="15" x14ac:dyDescent="0.25"/>
  <cols>
    <col min="1" max="1" width="13.140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5703125" style="1" bestFit="1" customWidth="1"/>
    <col min="9" max="9" width="11.5703125" style="1" customWidth="1"/>
    <col min="10" max="10" width="18.5703125" customWidth="1"/>
    <col min="11" max="11" width="8.85546875" customWidth="1"/>
    <col min="12" max="12" width="8.42578125" customWidth="1"/>
  </cols>
  <sheetData>
    <row r="1" spans="1:12" ht="27" thickBot="1" x14ac:dyDescent="0.45">
      <c r="A1" s="55" t="s">
        <v>7</v>
      </c>
      <c r="B1" s="55"/>
      <c r="C1" s="55"/>
      <c r="D1" s="55"/>
      <c r="E1" s="55"/>
      <c r="F1" s="55"/>
      <c r="G1" s="55"/>
      <c r="H1" s="15">
        <v>2025</v>
      </c>
      <c r="I1" s="15"/>
      <c r="J1" s="14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29" t="s">
        <v>5</v>
      </c>
      <c r="K2" s="33" t="s">
        <v>20</v>
      </c>
      <c r="L2" s="34" t="s">
        <v>21</v>
      </c>
    </row>
    <row r="3" spans="1:12" x14ac:dyDescent="0.25">
      <c r="A3" s="5">
        <v>45664</v>
      </c>
      <c r="B3" s="46" t="s">
        <v>28</v>
      </c>
      <c r="C3" s="6">
        <v>1</v>
      </c>
      <c r="D3" s="6">
        <v>50</v>
      </c>
      <c r="E3" s="6">
        <v>2</v>
      </c>
      <c r="F3" s="6">
        <v>10</v>
      </c>
      <c r="G3" s="6">
        <f>SUM(E3*60+F3)</f>
        <v>130</v>
      </c>
      <c r="H3" s="7">
        <f>SUM(D3/G3*60)</f>
        <v>23.076923076923077</v>
      </c>
      <c r="I3" s="7">
        <v>266</v>
      </c>
      <c r="J3" s="30"/>
      <c r="K3" s="6"/>
      <c r="L3" s="6">
        <v>50</v>
      </c>
    </row>
    <row r="4" spans="1:12" x14ac:dyDescent="0.25">
      <c r="A4" s="4"/>
      <c r="B4" s="2"/>
      <c r="C4" s="6">
        <v>2</v>
      </c>
      <c r="D4" s="2"/>
      <c r="E4" s="2"/>
      <c r="F4" s="2"/>
      <c r="G4" s="2">
        <f t="shared" ref="G4:G23" si="0">SUM(E4*60+F4)</f>
        <v>0</v>
      </c>
      <c r="H4" s="3" t="e">
        <f t="shared" ref="H4:H23" si="1">SUM(D4/G4*60)</f>
        <v>#DIV/0!</v>
      </c>
      <c r="I4" s="7"/>
      <c r="J4" s="30"/>
      <c r="K4" s="2"/>
      <c r="L4" s="2"/>
    </row>
    <row r="5" spans="1:12" x14ac:dyDescent="0.25">
      <c r="A5" s="4"/>
      <c r="B5" s="2"/>
      <c r="C5" s="6">
        <v>3</v>
      </c>
      <c r="D5" s="2"/>
      <c r="E5" s="2"/>
      <c r="F5" s="2"/>
      <c r="G5" s="2">
        <f t="shared" si="0"/>
        <v>0</v>
      </c>
      <c r="H5" s="3" t="e">
        <f t="shared" si="1"/>
        <v>#DIV/0!</v>
      </c>
      <c r="I5" s="3"/>
      <c r="J5" s="31"/>
      <c r="K5" s="2"/>
      <c r="L5" s="2"/>
    </row>
    <row r="6" spans="1:12" x14ac:dyDescent="0.25">
      <c r="A6" s="4"/>
      <c r="B6" s="2"/>
      <c r="C6" s="6">
        <v>4</v>
      </c>
      <c r="D6" s="2"/>
      <c r="E6" s="2"/>
      <c r="F6" s="2"/>
      <c r="G6" s="2">
        <f t="shared" si="0"/>
        <v>0</v>
      </c>
      <c r="H6" s="3" t="e">
        <f t="shared" si="1"/>
        <v>#DIV/0!</v>
      </c>
      <c r="I6" s="3"/>
      <c r="J6" s="30"/>
      <c r="K6" s="2"/>
      <c r="L6" s="2"/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30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32"/>
      <c r="K8" s="2"/>
      <c r="L8" s="2"/>
    </row>
    <row r="9" spans="1:12" x14ac:dyDescent="0.25">
      <c r="A9" s="4"/>
      <c r="B9" s="21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32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3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30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3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3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3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3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3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3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3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3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3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3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3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32"/>
      <c r="K23" s="2"/>
      <c r="L23" s="2"/>
    </row>
    <row r="24" spans="1:12" x14ac:dyDescent="0.25">
      <c r="D24">
        <f>SUM(D3:D23)</f>
        <v>50</v>
      </c>
      <c r="I24" s="1">
        <f>SUM(I3:I23)</f>
        <v>266</v>
      </c>
      <c r="K24">
        <f>SUM(K3:K23)</f>
        <v>0</v>
      </c>
      <c r="L24">
        <f>SUM(L3:L23)</f>
        <v>50</v>
      </c>
    </row>
    <row r="25" spans="1:12" x14ac:dyDescent="0.25">
      <c r="A25" t="s">
        <v>26</v>
      </c>
      <c r="B25">
        <f>SUM(D24+0)</f>
        <v>50</v>
      </c>
      <c r="H25" s="1">
        <f>SUM(I24+0)</f>
        <v>266</v>
      </c>
      <c r="K25">
        <f>SUM(K24)</f>
        <v>0</v>
      </c>
      <c r="L25">
        <f>SUM(L24)</f>
        <v>50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opLeftCell="B1" workbookViewId="0">
      <selection activeCell="L9" sqref="L9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55" t="s">
        <v>8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45689</v>
      </c>
      <c r="B3" s="46" t="s">
        <v>29</v>
      </c>
      <c r="C3" s="6">
        <v>1</v>
      </c>
      <c r="D3" s="6">
        <v>65</v>
      </c>
      <c r="E3" s="6">
        <v>2</v>
      </c>
      <c r="F3" s="6">
        <v>53</v>
      </c>
      <c r="G3" s="6">
        <f>SUM(E3*60+F3)</f>
        <v>173</v>
      </c>
      <c r="H3" s="7">
        <f>SUM(D3/G3*60)</f>
        <v>22.543352601156069</v>
      </c>
      <c r="I3" s="7">
        <v>372</v>
      </c>
      <c r="J3" s="6"/>
      <c r="K3" s="6"/>
      <c r="L3" s="6">
        <v>65</v>
      </c>
    </row>
    <row r="4" spans="1:12" x14ac:dyDescent="0.25">
      <c r="A4" s="4">
        <v>45696</v>
      </c>
      <c r="B4" s="46" t="s">
        <v>30</v>
      </c>
      <c r="C4" s="6">
        <v>2</v>
      </c>
      <c r="D4" s="2">
        <v>61</v>
      </c>
      <c r="E4" s="2">
        <v>2</v>
      </c>
      <c r="F4" s="2">
        <v>42</v>
      </c>
      <c r="G4" s="2">
        <f t="shared" ref="G4:G23" si="0">SUM(E4*60+F4)</f>
        <v>162</v>
      </c>
      <c r="H4" s="3">
        <f t="shared" ref="H4:H23" si="1">SUM(D4/G4*60)</f>
        <v>22.592592592592592</v>
      </c>
      <c r="I4" s="7">
        <v>325</v>
      </c>
      <c r="J4" s="2"/>
      <c r="K4" s="2"/>
      <c r="L4" s="2">
        <v>61</v>
      </c>
    </row>
    <row r="5" spans="1:12" x14ac:dyDescent="0.25">
      <c r="A5" s="4">
        <v>45703</v>
      </c>
      <c r="B5" s="46" t="s">
        <v>31</v>
      </c>
      <c r="C5" s="6">
        <v>3</v>
      </c>
      <c r="D5" s="2">
        <v>68</v>
      </c>
      <c r="E5" s="2">
        <v>3</v>
      </c>
      <c r="F5" s="2">
        <v>4</v>
      </c>
      <c r="G5" s="2">
        <f t="shared" si="0"/>
        <v>184</v>
      </c>
      <c r="H5" s="3">
        <f t="shared" si="1"/>
        <v>22.173913043478258</v>
      </c>
      <c r="I5" s="3">
        <v>291</v>
      </c>
      <c r="J5" s="2"/>
      <c r="K5" s="2"/>
      <c r="L5" s="2">
        <v>68</v>
      </c>
    </row>
    <row r="6" spans="1:12" x14ac:dyDescent="0.25">
      <c r="A6" s="4">
        <v>45710</v>
      </c>
      <c r="B6" s="46" t="s">
        <v>32</v>
      </c>
      <c r="C6" s="6">
        <v>4</v>
      </c>
      <c r="D6" s="2">
        <v>10</v>
      </c>
      <c r="E6" s="2"/>
      <c r="F6" s="2">
        <v>27</v>
      </c>
      <c r="G6" s="2">
        <f t="shared" si="0"/>
        <v>27</v>
      </c>
      <c r="H6" s="3">
        <f t="shared" si="1"/>
        <v>22.222222222222221</v>
      </c>
      <c r="I6" s="3">
        <v>17</v>
      </c>
      <c r="J6" s="2"/>
      <c r="K6" s="2"/>
      <c r="L6" s="2">
        <v>10</v>
      </c>
    </row>
    <row r="7" spans="1:12" x14ac:dyDescent="0.25">
      <c r="A7" s="4"/>
      <c r="B7" s="2"/>
      <c r="C7" s="6">
        <v>5</v>
      </c>
      <c r="D7" s="2"/>
      <c r="E7" s="2"/>
      <c r="F7" s="2"/>
      <c r="G7" s="2">
        <f t="shared" si="0"/>
        <v>0</v>
      </c>
      <c r="H7" s="3" t="e">
        <f t="shared" si="1"/>
        <v>#DIV/0!</v>
      </c>
      <c r="I7" s="3"/>
      <c r="J7" s="6"/>
      <c r="K7" s="2"/>
      <c r="L7" s="2"/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0"/>
        <v>0</v>
      </c>
      <c r="H8" s="3" t="e">
        <f t="shared" si="1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2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204</v>
      </c>
      <c r="I24" s="1">
        <f>SUM(I3:I23)</f>
        <v>1005</v>
      </c>
      <c r="K24">
        <f>SUM(K3:K23)</f>
        <v>0</v>
      </c>
      <c r="L24">
        <f>SUM(L3:L23)</f>
        <v>204</v>
      </c>
    </row>
    <row r="25" spans="1:12" x14ac:dyDescent="0.25">
      <c r="A25" t="s">
        <v>26</v>
      </c>
      <c r="B25">
        <f>SUM(Janv!B25+Fév!D24)</f>
        <v>254</v>
      </c>
      <c r="H25" s="1">
        <f>SUM(Janv!H25+Fév!I24)</f>
        <v>1271</v>
      </c>
      <c r="K25">
        <f>SUM(Janv!K25+Fév!K24)</f>
        <v>0</v>
      </c>
      <c r="L25">
        <f>SUM(Janv!L25+Fév!L24)</f>
        <v>254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B1" workbookViewId="0">
      <selection activeCell="D36" sqref="D36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2" width="8.85546875" customWidth="1"/>
  </cols>
  <sheetData>
    <row r="1" spans="1:12" ht="27" thickBot="1" x14ac:dyDescent="0.45">
      <c r="A1" s="55" t="s">
        <v>9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45717</v>
      </c>
      <c r="B3" s="45" t="s">
        <v>33</v>
      </c>
      <c r="C3" s="6">
        <v>1</v>
      </c>
      <c r="D3" s="6">
        <v>71</v>
      </c>
      <c r="E3" s="6">
        <v>3</v>
      </c>
      <c r="F3" s="6">
        <v>4</v>
      </c>
      <c r="G3" s="6">
        <f>SUM(E3*60+F3)</f>
        <v>184</v>
      </c>
      <c r="H3" s="7">
        <f>SUM(D3/G3*60)</f>
        <v>23.152173913043477</v>
      </c>
      <c r="I3" s="7">
        <v>348</v>
      </c>
      <c r="J3" s="6"/>
      <c r="K3" s="6"/>
      <c r="L3" s="6">
        <v>71</v>
      </c>
    </row>
    <row r="4" spans="1:12" x14ac:dyDescent="0.25">
      <c r="A4" s="4">
        <v>45724</v>
      </c>
      <c r="B4" s="45" t="s">
        <v>34</v>
      </c>
      <c r="C4" s="6">
        <v>2</v>
      </c>
      <c r="D4" s="2">
        <v>68</v>
      </c>
      <c r="E4" s="2">
        <v>2</v>
      </c>
      <c r="F4" s="2">
        <v>56</v>
      </c>
      <c r="G4" s="2">
        <f t="shared" ref="G4:G23" si="0">SUM(E4*60+F4)</f>
        <v>176</v>
      </c>
      <c r="H4" s="3">
        <f t="shared" ref="H4:H23" si="1">SUM(D4/G4*60)</f>
        <v>23.18181818181818</v>
      </c>
      <c r="I4" s="7">
        <v>305</v>
      </c>
      <c r="J4" s="2"/>
      <c r="K4" s="2"/>
      <c r="L4" s="2">
        <v>68</v>
      </c>
    </row>
    <row r="5" spans="1:12" x14ac:dyDescent="0.25">
      <c r="A5" s="4">
        <v>45731</v>
      </c>
      <c r="B5" s="45" t="s">
        <v>35</v>
      </c>
      <c r="C5" s="6">
        <v>3</v>
      </c>
      <c r="D5" s="2">
        <v>75</v>
      </c>
      <c r="E5" s="2">
        <v>3</v>
      </c>
      <c r="F5" s="2">
        <v>15</v>
      </c>
      <c r="G5" s="2">
        <f t="shared" si="0"/>
        <v>195</v>
      </c>
      <c r="H5" s="3">
        <f t="shared" si="1"/>
        <v>23.076923076923077</v>
      </c>
      <c r="I5" s="3">
        <v>361</v>
      </c>
      <c r="J5" s="2"/>
      <c r="K5" s="2"/>
      <c r="L5" s="2">
        <v>75</v>
      </c>
    </row>
    <row r="6" spans="1:12" x14ac:dyDescent="0.25">
      <c r="A6" s="4">
        <v>45734</v>
      </c>
      <c r="B6" s="46" t="s">
        <v>36</v>
      </c>
      <c r="C6" s="6">
        <v>4</v>
      </c>
      <c r="D6" s="2">
        <v>99</v>
      </c>
      <c r="E6" s="2">
        <v>4</v>
      </c>
      <c r="F6" s="2">
        <v>4</v>
      </c>
      <c r="G6" s="2">
        <f t="shared" si="0"/>
        <v>244</v>
      </c>
      <c r="H6" s="3">
        <f t="shared" si="1"/>
        <v>24.344262295081968</v>
      </c>
      <c r="I6" s="3">
        <v>334</v>
      </c>
      <c r="J6" s="2"/>
      <c r="K6" s="2"/>
      <c r="L6" s="2">
        <v>99</v>
      </c>
    </row>
    <row r="7" spans="1:12" x14ac:dyDescent="0.25">
      <c r="A7" s="4">
        <v>45736</v>
      </c>
      <c r="B7" s="45" t="s">
        <v>37</v>
      </c>
      <c r="C7" s="6">
        <v>5</v>
      </c>
      <c r="D7" s="2">
        <v>94</v>
      </c>
      <c r="E7" s="2">
        <v>3</v>
      </c>
      <c r="F7" s="2">
        <v>59</v>
      </c>
      <c r="G7" s="2">
        <f t="shared" si="0"/>
        <v>239</v>
      </c>
      <c r="H7" s="3">
        <f t="shared" si="1"/>
        <v>23.598326359832637</v>
      </c>
      <c r="I7" s="3">
        <v>698</v>
      </c>
      <c r="J7" s="2"/>
      <c r="K7" s="2"/>
      <c r="L7" s="2">
        <v>94</v>
      </c>
    </row>
    <row r="8" spans="1:12" x14ac:dyDescent="0.25">
      <c r="A8" s="4">
        <v>45741</v>
      </c>
      <c r="B8" s="46" t="s">
        <v>38</v>
      </c>
      <c r="C8" s="6">
        <v>6</v>
      </c>
      <c r="D8" s="2">
        <v>102</v>
      </c>
      <c r="E8" s="2">
        <v>4</v>
      </c>
      <c r="F8" s="2">
        <v>16</v>
      </c>
      <c r="G8" s="2">
        <f t="shared" si="0"/>
        <v>256</v>
      </c>
      <c r="H8" s="3">
        <f t="shared" si="1"/>
        <v>23.90625</v>
      </c>
      <c r="I8" s="3">
        <v>472</v>
      </c>
      <c r="J8" s="2"/>
      <c r="K8" s="2"/>
      <c r="L8" s="2">
        <v>102</v>
      </c>
    </row>
    <row r="9" spans="1:12" x14ac:dyDescent="0.25">
      <c r="A9" s="4">
        <v>45743</v>
      </c>
      <c r="B9" s="46" t="s">
        <v>39</v>
      </c>
      <c r="C9" s="6">
        <v>7</v>
      </c>
      <c r="D9" s="2">
        <v>108</v>
      </c>
      <c r="E9" s="2">
        <v>4</v>
      </c>
      <c r="F9" s="2">
        <v>22</v>
      </c>
      <c r="G9" s="2">
        <f t="shared" si="0"/>
        <v>262</v>
      </c>
      <c r="H9" s="3">
        <f t="shared" si="1"/>
        <v>24.732824427480917</v>
      </c>
      <c r="I9" s="3">
        <v>654</v>
      </c>
      <c r="J9" s="2"/>
      <c r="K9" s="2"/>
      <c r="L9" s="2">
        <v>108</v>
      </c>
    </row>
    <row r="10" spans="1:12" x14ac:dyDescent="0.25">
      <c r="A10" s="4">
        <v>45745</v>
      </c>
      <c r="B10" s="46" t="s">
        <v>40</v>
      </c>
      <c r="C10" s="6">
        <v>8</v>
      </c>
      <c r="D10" s="2">
        <v>95</v>
      </c>
      <c r="E10" s="2">
        <v>4</v>
      </c>
      <c r="F10" s="2">
        <v>18</v>
      </c>
      <c r="G10" s="2">
        <f t="shared" si="0"/>
        <v>258</v>
      </c>
      <c r="H10" s="3">
        <f t="shared" si="1"/>
        <v>22.093023255813954</v>
      </c>
      <c r="I10" s="7">
        <v>594</v>
      </c>
      <c r="J10" s="2"/>
      <c r="K10" s="2"/>
      <c r="L10" s="2">
        <v>95</v>
      </c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6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712</v>
      </c>
      <c r="I24" s="1">
        <f>SUM(I3:I23)</f>
        <v>3766</v>
      </c>
      <c r="K24">
        <f>SUM(K3:K23)</f>
        <v>0</v>
      </c>
      <c r="L24">
        <f>SUM(L3:L23)</f>
        <v>712</v>
      </c>
    </row>
    <row r="25" spans="1:12" x14ac:dyDescent="0.25">
      <c r="A25" t="s">
        <v>26</v>
      </c>
      <c r="B25">
        <f>SUM(Fév!B25+Mar!D24)</f>
        <v>966</v>
      </c>
      <c r="H25" s="1">
        <f>SUM(Janv!H25+Fév!I24)</f>
        <v>1271</v>
      </c>
      <c r="K25">
        <f>SUM(Fév!K25+Mar!K24)</f>
        <v>0</v>
      </c>
      <c r="L25">
        <f>SUM(Fév!L25+Mar!L24)</f>
        <v>966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"/>
  <sheetViews>
    <sheetView workbookViewId="0">
      <selection activeCell="B26" sqref="B26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42578125" style="1"/>
    <col min="9" max="9" width="7.85546875" style="1" customWidth="1"/>
    <col min="10" max="10" width="20.140625" customWidth="1"/>
    <col min="11" max="11" width="8.28515625" customWidth="1"/>
    <col min="12" max="12" width="8" customWidth="1"/>
  </cols>
  <sheetData>
    <row r="1" spans="1:12" ht="27" thickBot="1" x14ac:dyDescent="0.45">
      <c r="A1" s="55" t="s">
        <v>10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45748</v>
      </c>
      <c r="B3" s="45" t="s">
        <v>41</v>
      </c>
      <c r="C3" s="6">
        <v>1</v>
      </c>
      <c r="D3" s="6">
        <v>93</v>
      </c>
      <c r="E3" s="6">
        <v>4</v>
      </c>
      <c r="F3" s="6">
        <v>3</v>
      </c>
      <c r="G3" s="6">
        <f>SUM(E3*60+F3)</f>
        <v>243</v>
      </c>
      <c r="H3" s="7">
        <f>SUM(D3/G3*60)</f>
        <v>22.962962962962962</v>
      </c>
      <c r="I3" s="7">
        <v>560</v>
      </c>
      <c r="J3" s="6" t="s">
        <v>42</v>
      </c>
      <c r="K3" s="6"/>
      <c r="L3" s="6">
        <v>93</v>
      </c>
    </row>
    <row r="4" spans="1:12" x14ac:dyDescent="0.25">
      <c r="A4" s="4">
        <v>45751</v>
      </c>
      <c r="B4" s="46" t="s">
        <v>43</v>
      </c>
      <c r="C4" s="6">
        <v>2</v>
      </c>
      <c r="D4" s="2">
        <v>68</v>
      </c>
      <c r="E4" s="2">
        <v>2</v>
      </c>
      <c r="F4" s="2">
        <v>41</v>
      </c>
      <c r="G4" s="2">
        <f t="shared" ref="G4:G23" si="0">SUM(E4*60+F4)</f>
        <v>161</v>
      </c>
      <c r="H4" s="3">
        <f t="shared" ref="H4:H23" si="1">SUM(D4/G4*60)</f>
        <v>25.341614906832298</v>
      </c>
      <c r="I4" s="7">
        <v>345</v>
      </c>
      <c r="J4" s="2"/>
      <c r="K4" s="2"/>
      <c r="L4" s="2">
        <v>68</v>
      </c>
    </row>
    <row r="5" spans="1:12" x14ac:dyDescent="0.25">
      <c r="A5" s="4">
        <v>45755</v>
      </c>
      <c r="B5" s="46" t="s">
        <v>44</v>
      </c>
      <c r="C5" s="6">
        <v>3</v>
      </c>
      <c r="D5" s="2">
        <v>101</v>
      </c>
      <c r="E5" s="2">
        <v>3</v>
      </c>
      <c r="F5" s="2">
        <v>54</v>
      </c>
      <c r="G5" s="2">
        <f t="shared" si="0"/>
        <v>234</v>
      </c>
      <c r="H5" s="3">
        <f t="shared" si="1"/>
        <v>25.897435897435898</v>
      </c>
      <c r="I5" s="3">
        <v>602</v>
      </c>
      <c r="J5" s="2"/>
      <c r="K5" s="2"/>
      <c r="L5" s="2">
        <v>101</v>
      </c>
    </row>
    <row r="6" spans="1:12" x14ac:dyDescent="0.25">
      <c r="A6" s="4">
        <v>45757</v>
      </c>
      <c r="B6" s="45" t="s">
        <v>45</v>
      </c>
      <c r="C6" s="6">
        <v>4</v>
      </c>
      <c r="D6" s="2">
        <v>101</v>
      </c>
      <c r="E6" s="2">
        <v>3</v>
      </c>
      <c r="F6" s="2">
        <v>59</v>
      </c>
      <c r="G6" s="2">
        <f t="shared" si="0"/>
        <v>239</v>
      </c>
      <c r="H6" s="3">
        <f t="shared" si="1"/>
        <v>25.355648535564853</v>
      </c>
      <c r="I6" s="3">
        <v>473</v>
      </c>
      <c r="J6" s="2"/>
      <c r="K6" s="2"/>
      <c r="L6" s="2">
        <v>101</v>
      </c>
    </row>
    <row r="7" spans="1:12" ht="15.75" x14ac:dyDescent="0.25">
      <c r="A7" s="4">
        <v>45759</v>
      </c>
      <c r="B7" s="47" t="s">
        <v>46</v>
      </c>
      <c r="C7" s="6">
        <v>5</v>
      </c>
      <c r="D7" s="2">
        <v>122</v>
      </c>
      <c r="E7" s="2">
        <v>5</v>
      </c>
      <c r="F7" s="2">
        <v>9</v>
      </c>
      <c r="G7" s="2">
        <f t="shared" si="0"/>
        <v>309</v>
      </c>
      <c r="H7" s="3">
        <f t="shared" si="1"/>
        <v>23.689320388349515</v>
      </c>
      <c r="I7" s="3">
        <v>559</v>
      </c>
      <c r="J7" s="2"/>
      <c r="K7" s="2"/>
      <c r="L7" s="2">
        <v>122</v>
      </c>
    </row>
    <row r="8" spans="1:12" x14ac:dyDescent="0.25">
      <c r="A8" s="4">
        <v>45769</v>
      </c>
      <c r="B8" s="2" t="s">
        <v>47</v>
      </c>
      <c r="C8" s="6">
        <v>6</v>
      </c>
      <c r="D8" s="2">
        <v>106</v>
      </c>
      <c r="E8" s="2">
        <v>4</v>
      </c>
      <c r="F8" s="2">
        <v>22</v>
      </c>
      <c r="G8" s="2">
        <f t="shared" si="0"/>
        <v>262</v>
      </c>
      <c r="H8" s="3">
        <f t="shared" si="1"/>
        <v>24.274809160305345</v>
      </c>
      <c r="I8" s="3">
        <v>512</v>
      </c>
      <c r="J8" s="2"/>
      <c r="K8" s="2"/>
      <c r="L8" s="2">
        <v>106</v>
      </c>
    </row>
    <row r="9" spans="1:12" x14ac:dyDescent="0.25">
      <c r="A9" s="4">
        <v>45771</v>
      </c>
      <c r="B9" s="46" t="s">
        <v>48</v>
      </c>
      <c r="C9" s="6">
        <v>7</v>
      </c>
      <c r="D9" s="2">
        <v>107</v>
      </c>
      <c r="E9" s="2">
        <v>4</v>
      </c>
      <c r="F9" s="2">
        <v>10</v>
      </c>
      <c r="G9" s="2">
        <f t="shared" si="0"/>
        <v>250</v>
      </c>
      <c r="H9" s="3">
        <f t="shared" si="1"/>
        <v>25.68</v>
      </c>
      <c r="I9" s="3">
        <v>157</v>
      </c>
      <c r="J9" s="2"/>
      <c r="K9" s="2"/>
      <c r="L9" s="2">
        <v>107</v>
      </c>
    </row>
    <row r="10" spans="1:12" x14ac:dyDescent="0.25">
      <c r="A10" s="4">
        <v>45773</v>
      </c>
      <c r="B10" s="46" t="s">
        <v>49</v>
      </c>
      <c r="C10" s="6">
        <v>8</v>
      </c>
      <c r="D10" s="2">
        <v>81</v>
      </c>
      <c r="E10" s="2">
        <v>3</v>
      </c>
      <c r="F10" s="2">
        <v>14</v>
      </c>
      <c r="G10" s="2">
        <f t="shared" si="0"/>
        <v>194</v>
      </c>
      <c r="H10" s="3">
        <f t="shared" si="1"/>
        <v>25.051546391752577</v>
      </c>
      <c r="I10" s="7">
        <v>325</v>
      </c>
      <c r="J10" s="2"/>
      <c r="K10" s="2"/>
      <c r="L10" s="2">
        <v>81</v>
      </c>
    </row>
    <row r="11" spans="1:12" x14ac:dyDescent="0.25">
      <c r="A11" s="4">
        <v>45776</v>
      </c>
      <c r="B11" s="46" t="s">
        <v>50</v>
      </c>
      <c r="C11" s="6">
        <v>9</v>
      </c>
      <c r="D11" s="2">
        <v>102</v>
      </c>
      <c r="E11" s="2">
        <v>4</v>
      </c>
      <c r="F11" s="2">
        <v>13</v>
      </c>
      <c r="G11" s="2">
        <f t="shared" si="0"/>
        <v>253</v>
      </c>
      <c r="H11" s="3">
        <f t="shared" si="1"/>
        <v>24.189723320158102</v>
      </c>
      <c r="I11" s="3">
        <v>548</v>
      </c>
      <c r="J11" s="2"/>
      <c r="K11" s="2"/>
      <c r="L11" s="2">
        <v>102</v>
      </c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881</v>
      </c>
      <c r="I24" s="1">
        <f>SUM(I3:I23)</f>
        <v>4081</v>
      </c>
      <c r="K24">
        <f>SUM(K3:K23)</f>
        <v>0</v>
      </c>
      <c r="L24">
        <f>SUM(L3:L23)</f>
        <v>881</v>
      </c>
    </row>
    <row r="25" spans="1:12" x14ac:dyDescent="0.25">
      <c r="A25" t="s">
        <v>26</v>
      </c>
      <c r="B25">
        <f>SUM(Mar!B25+Avr!D24)</f>
        <v>1847</v>
      </c>
      <c r="H25" s="1">
        <f>SUM(Janv!H25+Fév!I24)</f>
        <v>1271</v>
      </c>
      <c r="K25">
        <f>SUM(Mar!K25+Avr!K24)</f>
        <v>0</v>
      </c>
      <c r="L25">
        <f>SUM(Mar!L25+Avr!L24)</f>
        <v>1847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30"/>
  <sheetViews>
    <sheetView showOutlineSymbols="0" topLeftCell="B5" workbookViewId="0">
      <selection activeCell="D9" sqref="D9"/>
    </sheetView>
  </sheetViews>
  <sheetFormatPr baseColWidth="10" defaultRowHeight="15" outlineLevelRow="1" outlineLevelCol="2" x14ac:dyDescent="0.25"/>
  <cols>
    <col min="1" max="1" width="12.42578125" customWidth="1"/>
    <col min="2" max="2" width="34.28515625" customWidth="1"/>
    <col min="3" max="3" width="4" customWidth="1"/>
    <col min="4" max="4" width="12" customWidth="1" outlineLevel="1"/>
    <col min="5" max="5" width="5.7109375" customWidth="1" outlineLevel="2"/>
    <col min="6" max="6" width="5.85546875" customWidth="1" outlineLevel="2"/>
    <col min="7" max="7" width="5.7109375" customWidth="1" outlineLevel="1"/>
    <col min="8" max="9" width="11.42578125" style="1"/>
    <col min="10" max="10" width="18.5703125" customWidth="1"/>
  </cols>
  <sheetData>
    <row r="1" spans="1:12" ht="27" thickBot="1" x14ac:dyDescent="0.45">
      <c r="A1" s="55" t="s">
        <v>11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outlineLevel="1" x14ac:dyDescent="0.25">
      <c r="A3" s="5">
        <v>45780</v>
      </c>
      <c r="B3" s="45" t="s">
        <v>51</v>
      </c>
      <c r="C3" s="6">
        <v>1</v>
      </c>
      <c r="D3" s="6">
        <v>86</v>
      </c>
      <c r="E3" s="6">
        <v>3</v>
      </c>
      <c r="F3" s="6">
        <v>36</v>
      </c>
      <c r="G3" s="6">
        <f>SUM(E3*60+F3)</f>
        <v>216</v>
      </c>
      <c r="H3" s="7">
        <f>SUM(D3/G3*60)</f>
        <v>23.888888888888889</v>
      </c>
      <c r="I3" s="7">
        <v>481</v>
      </c>
      <c r="J3" s="6"/>
      <c r="K3" s="6"/>
      <c r="L3" s="6">
        <v>86</v>
      </c>
    </row>
    <row r="4" spans="1:12" outlineLevel="1" x14ac:dyDescent="0.25">
      <c r="A4" s="4">
        <v>45783</v>
      </c>
      <c r="B4" s="45" t="s">
        <v>52</v>
      </c>
      <c r="C4" s="6">
        <v>2</v>
      </c>
      <c r="D4" s="2">
        <v>106</v>
      </c>
      <c r="E4" s="2">
        <v>4</v>
      </c>
      <c r="F4" s="2">
        <v>33</v>
      </c>
      <c r="G4" s="2">
        <f t="shared" ref="G4:G23" si="0">SUM(E4*60+F4)</f>
        <v>273</v>
      </c>
      <c r="H4" s="3">
        <f t="shared" ref="H4:H23" si="1">SUM(D4/G4*60)</f>
        <v>23.296703296703296</v>
      </c>
      <c r="I4" s="7">
        <v>642</v>
      </c>
      <c r="J4" s="2"/>
      <c r="K4" s="2"/>
      <c r="L4" s="2">
        <v>106</v>
      </c>
    </row>
    <row r="5" spans="1:12" outlineLevel="1" x14ac:dyDescent="0.25">
      <c r="A5" s="4">
        <v>45790</v>
      </c>
      <c r="B5" s="45" t="s">
        <v>53</v>
      </c>
      <c r="C5" s="6">
        <v>3</v>
      </c>
      <c r="D5" s="2">
        <v>97</v>
      </c>
      <c r="E5" s="2">
        <v>3</v>
      </c>
      <c r="F5" s="2">
        <v>58</v>
      </c>
      <c r="G5" s="2">
        <f t="shared" si="0"/>
        <v>238</v>
      </c>
      <c r="H5" s="3">
        <f t="shared" si="1"/>
        <v>24.45378151260504</v>
      </c>
      <c r="I5" s="3">
        <v>544</v>
      </c>
      <c r="J5" s="2"/>
      <c r="K5" s="2"/>
      <c r="L5" s="2">
        <v>97</v>
      </c>
    </row>
    <row r="6" spans="1:12" outlineLevel="1" x14ac:dyDescent="0.25">
      <c r="A6" s="4">
        <v>45792</v>
      </c>
      <c r="B6" s="45" t="s">
        <v>54</v>
      </c>
      <c r="C6" s="6">
        <v>4</v>
      </c>
      <c r="D6" s="2">
        <v>107</v>
      </c>
      <c r="E6" s="2">
        <v>4</v>
      </c>
      <c r="F6" s="2">
        <v>17</v>
      </c>
      <c r="G6" s="2">
        <f t="shared" si="0"/>
        <v>257</v>
      </c>
      <c r="H6" s="3">
        <f t="shared" si="1"/>
        <v>24.980544747081712</v>
      </c>
      <c r="I6" s="3">
        <v>542</v>
      </c>
      <c r="J6" s="2"/>
      <c r="K6" s="2"/>
      <c r="L6" s="2">
        <v>107</v>
      </c>
    </row>
    <row r="7" spans="1:12" outlineLevel="1" x14ac:dyDescent="0.25">
      <c r="A7" s="4">
        <v>45794</v>
      </c>
      <c r="B7" s="46" t="s">
        <v>55</v>
      </c>
      <c r="C7" s="6">
        <v>5</v>
      </c>
      <c r="D7" s="2">
        <v>74</v>
      </c>
      <c r="E7" s="2">
        <v>3</v>
      </c>
      <c r="F7" s="2">
        <v>11</v>
      </c>
      <c r="G7" s="2">
        <f t="shared" si="0"/>
        <v>191</v>
      </c>
      <c r="H7" s="3">
        <f t="shared" si="1"/>
        <v>23.246073298429319</v>
      </c>
      <c r="I7" s="3">
        <v>338</v>
      </c>
      <c r="J7" s="2"/>
      <c r="K7" s="2"/>
      <c r="L7" s="2">
        <v>74</v>
      </c>
    </row>
    <row r="8" spans="1:12" outlineLevel="1" x14ac:dyDescent="0.25">
      <c r="A8" s="4">
        <v>45797</v>
      </c>
      <c r="B8" s="46" t="s">
        <v>56</v>
      </c>
      <c r="C8" s="6">
        <v>6</v>
      </c>
      <c r="D8" s="2">
        <v>116</v>
      </c>
      <c r="E8" s="2">
        <v>4</v>
      </c>
      <c r="F8" s="2">
        <v>33</v>
      </c>
      <c r="G8" s="2">
        <f t="shared" si="0"/>
        <v>273</v>
      </c>
      <c r="H8" s="3">
        <f t="shared" si="1"/>
        <v>25.494505494505493</v>
      </c>
      <c r="I8" s="3">
        <v>533</v>
      </c>
      <c r="J8" s="2"/>
      <c r="K8" s="2"/>
      <c r="L8" s="2">
        <v>116</v>
      </c>
    </row>
    <row r="9" spans="1:12" outlineLevel="1" x14ac:dyDescent="0.25">
      <c r="A9" s="37">
        <v>45801</v>
      </c>
      <c r="B9" s="17" t="s">
        <v>57</v>
      </c>
      <c r="C9" s="38">
        <v>7</v>
      </c>
      <c r="D9" s="17">
        <v>211</v>
      </c>
      <c r="E9" s="17">
        <v>8</v>
      </c>
      <c r="F9" s="17">
        <v>59</v>
      </c>
      <c r="G9" s="17">
        <f t="shared" si="0"/>
        <v>539</v>
      </c>
      <c r="H9" s="39">
        <f t="shared" si="1"/>
        <v>23.487940630797773</v>
      </c>
      <c r="I9" s="39">
        <v>986</v>
      </c>
      <c r="J9" s="2"/>
      <c r="K9" s="2"/>
      <c r="L9" s="2">
        <v>211</v>
      </c>
    </row>
    <row r="10" spans="1:12" outlineLevel="1" x14ac:dyDescent="0.25">
      <c r="A10" s="4">
        <v>45804</v>
      </c>
      <c r="B10" s="46" t="s">
        <v>58</v>
      </c>
      <c r="C10" s="6">
        <v>8</v>
      </c>
      <c r="D10" s="2">
        <v>101</v>
      </c>
      <c r="E10" s="2">
        <v>4</v>
      </c>
      <c r="F10" s="2">
        <v>8</v>
      </c>
      <c r="G10" s="2">
        <f t="shared" si="0"/>
        <v>248</v>
      </c>
      <c r="H10" s="3">
        <f t="shared" si="1"/>
        <v>24.435483870967744</v>
      </c>
      <c r="I10" s="7">
        <v>584</v>
      </c>
      <c r="K10" s="2"/>
      <c r="L10" s="2">
        <v>101</v>
      </c>
    </row>
    <row r="11" spans="1:12" outlineLevel="1" x14ac:dyDescent="0.25">
      <c r="A11" s="4">
        <v>45808</v>
      </c>
      <c r="B11" s="46" t="s">
        <v>59</v>
      </c>
      <c r="C11" s="6">
        <v>9</v>
      </c>
      <c r="D11" s="2">
        <v>83</v>
      </c>
      <c r="E11" s="2">
        <v>3</v>
      </c>
      <c r="F11" s="2">
        <v>20</v>
      </c>
      <c r="G11" s="2">
        <f t="shared" si="0"/>
        <v>200</v>
      </c>
      <c r="H11" s="3">
        <f t="shared" si="1"/>
        <v>24.9</v>
      </c>
      <c r="I11" s="3">
        <v>453</v>
      </c>
      <c r="J11" s="2"/>
      <c r="K11" s="2"/>
      <c r="L11" s="2">
        <v>83</v>
      </c>
    </row>
    <row r="12" spans="1:12" outlineLevel="1" x14ac:dyDescent="0.25">
      <c r="A12" s="4"/>
      <c r="B12" s="6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outlineLevel="1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outlineLevel="1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outlineLevel="1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outlineLevel="1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outlineLevel="1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outlineLevel="1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outlineLevel="1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outlineLevel="1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outlineLevel="1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outlineLevel="1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outlineLevel="1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981</v>
      </c>
      <c r="I24" s="1">
        <f>SUM(I3:I23)</f>
        <v>5103</v>
      </c>
      <c r="K24">
        <f>SUM(K3:K23)</f>
        <v>0</v>
      </c>
      <c r="L24">
        <f>SUM(L3:L23)</f>
        <v>981</v>
      </c>
    </row>
    <row r="25" spans="1:12" x14ac:dyDescent="0.25">
      <c r="A25" t="s">
        <v>26</v>
      </c>
      <c r="B25">
        <f>SUM(Avr!B25+Mai!D24)</f>
        <v>2828</v>
      </c>
      <c r="H25" s="1">
        <f>SUM(Janv!H25+Fév!I24)</f>
        <v>1271</v>
      </c>
      <c r="K25">
        <f>SUM(Avr!K25+Mai!K24)</f>
        <v>0</v>
      </c>
      <c r="L25">
        <f>SUM(Avr!L25+Mai!L24)</f>
        <v>2828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workbookViewId="0">
      <selection activeCell="H3" sqref="H3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12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45811</v>
      </c>
      <c r="B3" s="48" t="s">
        <v>60</v>
      </c>
      <c r="C3" s="6">
        <v>1</v>
      </c>
      <c r="D3" s="6">
        <v>100</v>
      </c>
      <c r="E3" s="6">
        <v>4</v>
      </c>
      <c r="F3" s="6">
        <v>6</v>
      </c>
      <c r="G3" s="6">
        <f>SUM(E3*60+F3)</f>
        <v>246</v>
      </c>
      <c r="H3" s="26">
        <f t="shared" ref="H3:H12" si="0">IF(G3&lt;&gt;0,D3/G3*60,"")</f>
        <v>24.390243902439025</v>
      </c>
      <c r="I3" s="7">
        <v>529</v>
      </c>
      <c r="J3" s="2"/>
      <c r="K3" s="6"/>
      <c r="L3" s="6">
        <v>100</v>
      </c>
    </row>
    <row r="4" spans="1:12" x14ac:dyDescent="0.25">
      <c r="A4" s="4">
        <v>45815</v>
      </c>
      <c r="B4" s="45" t="s">
        <v>61</v>
      </c>
      <c r="C4" s="6">
        <v>2</v>
      </c>
      <c r="D4" s="2">
        <v>81</v>
      </c>
      <c r="E4" s="2">
        <v>3</v>
      </c>
      <c r="F4" s="2">
        <v>21</v>
      </c>
      <c r="G4" s="6">
        <f t="shared" ref="G4:G20" si="1">SUM(E4*60+F4)</f>
        <v>201</v>
      </c>
      <c r="H4" s="26">
        <f t="shared" si="0"/>
        <v>24.17910447761194</v>
      </c>
      <c r="I4" s="7">
        <v>435</v>
      </c>
      <c r="J4" s="2"/>
      <c r="K4" s="2"/>
      <c r="L4" s="2">
        <v>81</v>
      </c>
    </row>
    <row r="5" spans="1:12" x14ac:dyDescent="0.25">
      <c r="A5" s="4">
        <v>45818</v>
      </c>
      <c r="B5" s="45" t="s">
        <v>62</v>
      </c>
      <c r="C5" s="6">
        <v>3</v>
      </c>
      <c r="D5" s="2">
        <v>107</v>
      </c>
      <c r="E5" s="2">
        <v>4</v>
      </c>
      <c r="F5" s="2">
        <v>30</v>
      </c>
      <c r="G5" s="6">
        <f t="shared" si="1"/>
        <v>270</v>
      </c>
      <c r="H5" s="26">
        <f t="shared" si="0"/>
        <v>23.777777777777779</v>
      </c>
      <c r="I5" s="3">
        <v>527</v>
      </c>
      <c r="J5" s="2"/>
      <c r="K5" s="2"/>
      <c r="L5" s="2">
        <v>107</v>
      </c>
    </row>
    <row r="6" spans="1:12" x14ac:dyDescent="0.25">
      <c r="A6" s="4">
        <v>45820</v>
      </c>
      <c r="B6" s="45" t="s">
        <v>63</v>
      </c>
      <c r="C6" s="6">
        <v>4</v>
      </c>
      <c r="D6" s="2">
        <v>92</v>
      </c>
      <c r="E6" s="2">
        <v>3</v>
      </c>
      <c r="F6" s="2">
        <v>58</v>
      </c>
      <c r="G6" s="6">
        <f t="shared" si="1"/>
        <v>238</v>
      </c>
      <c r="H6" s="26">
        <f t="shared" si="0"/>
        <v>23.193277310924369</v>
      </c>
      <c r="I6" s="3">
        <v>458</v>
      </c>
      <c r="J6" s="2"/>
      <c r="K6" s="2"/>
      <c r="L6" s="2">
        <v>92</v>
      </c>
    </row>
    <row r="7" spans="1:12" x14ac:dyDescent="0.25">
      <c r="A7" s="4">
        <v>45822</v>
      </c>
      <c r="B7" s="45" t="s">
        <v>64</v>
      </c>
      <c r="C7" s="6">
        <v>5</v>
      </c>
      <c r="D7" s="2">
        <v>74</v>
      </c>
      <c r="E7" s="2">
        <v>3</v>
      </c>
      <c r="F7" s="2">
        <v>6</v>
      </c>
      <c r="G7" s="6">
        <f t="shared" si="1"/>
        <v>186</v>
      </c>
      <c r="H7" s="26">
        <f t="shared" si="0"/>
        <v>23.870967741935484</v>
      </c>
      <c r="I7" s="3">
        <v>450</v>
      </c>
      <c r="J7" s="2"/>
      <c r="K7" s="2"/>
      <c r="L7" s="2">
        <v>74</v>
      </c>
    </row>
    <row r="8" spans="1:12" s="28" customFormat="1" x14ac:dyDescent="0.25">
      <c r="A8" s="23">
        <v>45824</v>
      </c>
      <c r="B8" s="2" t="s">
        <v>65</v>
      </c>
      <c r="C8" s="6">
        <v>6</v>
      </c>
      <c r="D8" s="2">
        <v>47</v>
      </c>
      <c r="E8" s="2">
        <v>2</v>
      </c>
      <c r="F8" s="2">
        <v>53</v>
      </c>
      <c r="G8" s="6">
        <f t="shared" si="1"/>
        <v>173</v>
      </c>
      <c r="H8" s="26">
        <f t="shared" si="0"/>
        <v>16.300578034682079</v>
      </c>
      <c r="I8" s="3">
        <v>953</v>
      </c>
      <c r="J8" s="2"/>
      <c r="K8" s="2">
        <v>47</v>
      </c>
      <c r="L8" s="2"/>
    </row>
    <row r="9" spans="1:12" s="28" customFormat="1" x14ac:dyDescent="0.25">
      <c r="A9" s="23">
        <v>45825</v>
      </c>
      <c r="B9" s="2" t="s">
        <v>66</v>
      </c>
      <c r="C9" s="25">
        <v>7</v>
      </c>
      <c r="D9" s="24">
        <v>79</v>
      </c>
      <c r="E9" s="24">
        <v>4</v>
      </c>
      <c r="F9" s="24">
        <v>21</v>
      </c>
      <c r="G9" s="25">
        <f t="shared" si="1"/>
        <v>261</v>
      </c>
      <c r="H9" s="26">
        <f t="shared" si="0"/>
        <v>18.160919540229884</v>
      </c>
      <c r="I9" s="26">
        <v>1310</v>
      </c>
      <c r="J9" s="24"/>
      <c r="K9" s="24">
        <v>79</v>
      </c>
      <c r="L9" s="24"/>
    </row>
    <row r="10" spans="1:12" s="28" customFormat="1" x14ac:dyDescent="0.25">
      <c r="A10" s="23">
        <v>45826</v>
      </c>
      <c r="B10" s="2" t="s">
        <v>67</v>
      </c>
      <c r="C10" s="25">
        <v>8</v>
      </c>
      <c r="D10" s="24">
        <v>40</v>
      </c>
      <c r="E10" s="24">
        <v>2</v>
      </c>
      <c r="F10" s="24">
        <v>24</v>
      </c>
      <c r="G10" s="25">
        <f t="shared" si="1"/>
        <v>144</v>
      </c>
      <c r="H10" s="26">
        <f t="shared" si="0"/>
        <v>16.666666666666668</v>
      </c>
      <c r="I10" s="27">
        <v>741</v>
      </c>
      <c r="J10" s="24"/>
      <c r="K10" s="24">
        <v>40</v>
      </c>
      <c r="L10" s="24"/>
    </row>
    <row r="11" spans="1:12" s="28" customFormat="1" x14ac:dyDescent="0.25">
      <c r="A11" s="23">
        <v>45827</v>
      </c>
      <c r="B11" s="2" t="s">
        <v>68</v>
      </c>
      <c r="C11" s="25">
        <v>9</v>
      </c>
      <c r="D11" s="24">
        <v>71</v>
      </c>
      <c r="E11" s="24">
        <v>4</v>
      </c>
      <c r="F11" s="24">
        <v>7</v>
      </c>
      <c r="G11" s="25">
        <f t="shared" si="1"/>
        <v>247</v>
      </c>
      <c r="H11" s="26">
        <f t="shared" si="0"/>
        <v>17.246963562753034</v>
      </c>
      <c r="I11" s="26">
        <v>1175</v>
      </c>
      <c r="J11" s="24"/>
      <c r="K11" s="24">
        <v>71</v>
      </c>
      <c r="L11" s="24"/>
    </row>
    <row r="12" spans="1:12" x14ac:dyDescent="0.25">
      <c r="A12" s="4">
        <v>45828</v>
      </c>
      <c r="B12" s="2" t="s">
        <v>69</v>
      </c>
      <c r="C12" s="6">
        <v>10</v>
      </c>
      <c r="D12" s="2">
        <v>32</v>
      </c>
      <c r="E12" s="2">
        <v>1</v>
      </c>
      <c r="F12" s="2">
        <v>51</v>
      </c>
      <c r="G12" s="6">
        <f t="shared" si="1"/>
        <v>111</v>
      </c>
      <c r="H12" s="26">
        <f t="shared" si="0"/>
        <v>17.297297297297298</v>
      </c>
      <c r="I12" s="3">
        <v>561</v>
      </c>
      <c r="J12" s="2"/>
      <c r="K12" s="2">
        <v>32</v>
      </c>
      <c r="L12" s="2"/>
    </row>
    <row r="13" spans="1:12" x14ac:dyDescent="0.25">
      <c r="A13" s="4">
        <v>45832</v>
      </c>
      <c r="B13" s="45" t="s">
        <v>70</v>
      </c>
      <c r="C13" s="6">
        <v>11</v>
      </c>
      <c r="D13" s="2">
        <v>97</v>
      </c>
      <c r="E13" s="2">
        <v>3</v>
      </c>
      <c r="F13" s="2">
        <v>54</v>
      </c>
      <c r="G13" s="6">
        <f t="shared" si="1"/>
        <v>234</v>
      </c>
      <c r="H13" s="26">
        <f t="shared" ref="H13:H14" si="2">IF(G13&lt;&gt;0,D13/G13*60,"")</f>
        <v>24.871794871794872</v>
      </c>
      <c r="I13" s="3">
        <v>520</v>
      </c>
      <c r="J13" s="2"/>
      <c r="K13" s="2"/>
      <c r="L13" s="2">
        <v>97</v>
      </c>
    </row>
    <row r="14" spans="1:12" x14ac:dyDescent="0.25">
      <c r="A14" s="4">
        <v>45834</v>
      </c>
      <c r="B14" s="4" t="s">
        <v>71</v>
      </c>
      <c r="C14" s="6">
        <v>12</v>
      </c>
      <c r="D14" s="2">
        <v>73</v>
      </c>
      <c r="E14" s="2">
        <v>3</v>
      </c>
      <c r="F14" s="2">
        <v>35</v>
      </c>
      <c r="G14" s="6">
        <v>54</v>
      </c>
      <c r="H14" s="26">
        <f t="shared" si="2"/>
        <v>81.111111111111114</v>
      </c>
      <c r="I14" s="3">
        <v>681</v>
      </c>
      <c r="J14" s="2"/>
      <c r="K14" s="2"/>
      <c r="L14" s="2">
        <v>73</v>
      </c>
    </row>
    <row r="15" spans="1:12" x14ac:dyDescent="0.25">
      <c r="A15" s="4"/>
      <c r="B15" s="24"/>
      <c r="C15" s="25">
        <v>13</v>
      </c>
      <c r="D15" s="24"/>
      <c r="E15" s="24"/>
      <c r="F15" s="24"/>
      <c r="G15" s="25">
        <f t="shared" si="1"/>
        <v>0</v>
      </c>
      <c r="H15" s="26" t="str">
        <f>IF(G15&lt;&gt;0,D15/G15*60,"")</f>
        <v/>
      </c>
      <c r="I15" s="26"/>
      <c r="J15" s="24"/>
      <c r="K15" s="2"/>
      <c r="L15" s="2"/>
    </row>
    <row r="16" spans="1:12" x14ac:dyDescent="0.25">
      <c r="A16" s="4"/>
      <c r="B16" s="24"/>
      <c r="C16" s="25">
        <v>14</v>
      </c>
      <c r="D16" s="24"/>
      <c r="E16" s="24"/>
      <c r="F16" s="24"/>
      <c r="G16" s="25">
        <f t="shared" si="1"/>
        <v>0</v>
      </c>
      <c r="H16" s="26" t="str">
        <f t="shared" ref="H16:H23" si="3">IF(G16&lt;&gt;0,D16/G16*60,"")</f>
        <v/>
      </c>
      <c r="I16" s="26"/>
      <c r="J16" s="24"/>
      <c r="K16" s="2"/>
      <c r="L16" s="2"/>
    </row>
    <row r="17" spans="1:14" x14ac:dyDescent="0.25">
      <c r="A17" s="4"/>
      <c r="B17" s="24"/>
      <c r="C17" s="25">
        <v>15</v>
      </c>
      <c r="D17" s="24"/>
      <c r="E17" s="24"/>
      <c r="F17" s="24"/>
      <c r="G17" s="25">
        <f t="shared" si="1"/>
        <v>0</v>
      </c>
      <c r="H17" s="26" t="str">
        <f t="shared" si="3"/>
        <v/>
      </c>
      <c r="I17" s="26"/>
      <c r="J17" s="24"/>
      <c r="K17" s="2"/>
      <c r="L17" s="2"/>
    </row>
    <row r="18" spans="1:14" x14ac:dyDescent="0.25">
      <c r="A18" s="35"/>
      <c r="B18" s="24"/>
      <c r="C18" s="25">
        <v>16</v>
      </c>
      <c r="D18" s="24"/>
      <c r="E18" s="24"/>
      <c r="F18" s="24"/>
      <c r="G18" s="25">
        <f t="shared" si="1"/>
        <v>0</v>
      </c>
      <c r="H18" s="26" t="str">
        <f t="shared" si="3"/>
        <v/>
      </c>
      <c r="I18" s="26"/>
      <c r="J18" s="24"/>
      <c r="K18" s="2"/>
      <c r="L18" s="2"/>
    </row>
    <row r="19" spans="1:14" x14ac:dyDescent="0.25">
      <c r="A19" s="4"/>
      <c r="B19" s="24"/>
      <c r="C19" s="25">
        <v>17</v>
      </c>
      <c r="D19" s="24"/>
      <c r="E19" s="24"/>
      <c r="F19" s="24"/>
      <c r="G19" s="25">
        <f t="shared" si="1"/>
        <v>0</v>
      </c>
      <c r="H19" s="26" t="str">
        <f t="shared" si="3"/>
        <v/>
      </c>
      <c r="I19" s="26"/>
      <c r="J19" s="24"/>
      <c r="K19" s="2"/>
      <c r="L19" s="2"/>
    </row>
    <row r="20" spans="1:14" x14ac:dyDescent="0.25">
      <c r="A20" s="4"/>
      <c r="B20" s="24"/>
      <c r="C20" s="25">
        <v>18</v>
      </c>
      <c r="D20" s="24"/>
      <c r="E20" s="24"/>
      <c r="F20" s="24"/>
      <c r="G20" s="25">
        <f t="shared" si="1"/>
        <v>0</v>
      </c>
      <c r="H20" s="26" t="str">
        <f t="shared" si="3"/>
        <v/>
      </c>
      <c r="I20" s="26"/>
      <c r="J20" s="24"/>
      <c r="K20" s="2"/>
      <c r="L20" s="2"/>
    </row>
    <row r="21" spans="1:14" x14ac:dyDescent="0.25">
      <c r="A21" s="4"/>
      <c r="B21" s="24"/>
      <c r="C21" s="25">
        <v>19</v>
      </c>
      <c r="D21" s="24"/>
      <c r="E21" s="24"/>
      <c r="F21" s="24"/>
      <c r="G21" s="24">
        <f t="shared" ref="G21:G23" si="4">SUM(E21*60+F21)</f>
        <v>0</v>
      </c>
      <c r="H21" s="26" t="str">
        <f t="shared" si="3"/>
        <v/>
      </c>
      <c r="I21" s="26"/>
      <c r="J21" s="24"/>
      <c r="K21" s="2"/>
      <c r="L21" s="2"/>
    </row>
    <row r="22" spans="1:14" x14ac:dyDescent="0.25">
      <c r="A22" s="4"/>
      <c r="B22" s="24"/>
      <c r="C22" s="25">
        <v>20</v>
      </c>
      <c r="D22" s="24"/>
      <c r="E22" s="24"/>
      <c r="F22" s="24"/>
      <c r="G22" s="24">
        <f t="shared" si="4"/>
        <v>0</v>
      </c>
      <c r="H22" s="26" t="str">
        <f t="shared" si="3"/>
        <v/>
      </c>
      <c r="I22" s="26"/>
      <c r="J22" s="24"/>
      <c r="K22" s="2"/>
      <c r="L22" s="2"/>
    </row>
    <row r="23" spans="1:14" x14ac:dyDescent="0.25">
      <c r="A23" s="4"/>
      <c r="B23" s="24"/>
      <c r="C23" s="25">
        <v>21</v>
      </c>
      <c r="D23" s="24"/>
      <c r="E23" s="24"/>
      <c r="F23" s="24"/>
      <c r="G23" s="24">
        <f t="shared" si="4"/>
        <v>0</v>
      </c>
      <c r="H23" s="26" t="str">
        <f t="shared" si="3"/>
        <v/>
      </c>
      <c r="I23" s="26"/>
      <c r="J23" s="24"/>
      <c r="K23" s="2"/>
      <c r="L23" s="2"/>
      <c r="N23" s="1"/>
    </row>
    <row r="24" spans="1:14" x14ac:dyDescent="0.25">
      <c r="D24">
        <f>SUM(D3:D23)</f>
        <v>893</v>
      </c>
      <c r="I24" s="1">
        <f>SUM(I3:I23)</f>
        <v>8340</v>
      </c>
      <c r="K24">
        <f>SUM(K3:K23)</f>
        <v>269</v>
      </c>
      <c r="L24">
        <f>SUM(L3:L23)</f>
        <v>624</v>
      </c>
    </row>
    <row r="25" spans="1:14" x14ac:dyDescent="0.25">
      <c r="A25" t="s">
        <v>26</v>
      </c>
      <c r="B25">
        <f>SUM(Mai!B25+Juin!D24)</f>
        <v>3721</v>
      </c>
      <c r="H25" s="1">
        <f>SUM(Janv!H25+Fév!I24)</f>
        <v>1271</v>
      </c>
      <c r="K25">
        <f>SUM(Mai!K25+Juin!K24)</f>
        <v>269</v>
      </c>
      <c r="L25">
        <f>SUM(Mai!L25+Juin!L24)</f>
        <v>3452</v>
      </c>
    </row>
    <row r="26" spans="1:14" x14ac:dyDescent="0.25">
      <c r="J26" t="s">
        <v>22</v>
      </c>
      <c r="K26">
        <v>1843</v>
      </c>
      <c r="L26">
        <v>9688</v>
      </c>
    </row>
    <row r="27" spans="1:14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4" x14ac:dyDescent="0.25">
      <c r="J28" t="s">
        <v>25</v>
      </c>
      <c r="K28">
        <v>7538</v>
      </c>
      <c r="L28">
        <v>3488</v>
      </c>
    </row>
    <row r="29" spans="1:14" x14ac:dyDescent="0.25">
      <c r="J29" t="s">
        <v>27</v>
      </c>
      <c r="K29">
        <v>624</v>
      </c>
      <c r="L29">
        <v>4941</v>
      </c>
    </row>
    <row r="30" spans="1:14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workbookViewId="0">
      <selection activeCell="O23" sqref="O23"/>
    </sheetView>
  </sheetViews>
  <sheetFormatPr baseColWidth="10" defaultRowHeight="15" x14ac:dyDescent="0.25"/>
  <cols>
    <col min="1" max="1" width="12.710937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7.85546875" customWidth="1"/>
  </cols>
  <sheetData>
    <row r="1" spans="1:12" ht="27" thickBot="1" x14ac:dyDescent="0.45">
      <c r="A1" s="55" t="s">
        <v>13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36">
        <v>45848</v>
      </c>
      <c r="B3" s="25" t="s">
        <v>72</v>
      </c>
      <c r="C3" s="6">
        <v>1</v>
      </c>
      <c r="D3" s="6">
        <v>98</v>
      </c>
      <c r="E3" s="6">
        <v>3</v>
      </c>
      <c r="F3" s="6">
        <v>57</v>
      </c>
      <c r="G3" s="50">
        <f>SUM(E3*60+F3)</f>
        <v>237</v>
      </c>
      <c r="H3" s="51">
        <f>IF(G3&lt;&gt;0,D3/G3*60,"")</f>
        <v>24.810126582278482</v>
      </c>
      <c r="I3" s="7">
        <v>544</v>
      </c>
      <c r="J3" s="6"/>
      <c r="K3" s="6"/>
      <c r="L3" s="6">
        <v>98</v>
      </c>
    </row>
    <row r="4" spans="1:12" x14ac:dyDescent="0.25">
      <c r="A4" s="23">
        <v>45848</v>
      </c>
      <c r="B4" s="46" t="s">
        <v>73</v>
      </c>
      <c r="C4" s="6">
        <v>2</v>
      </c>
      <c r="D4" s="2">
        <v>30</v>
      </c>
      <c r="E4" s="2"/>
      <c r="F4" s="2">
        <v>57</v>
      </c>
      <c r="G4" s="50">
        <f t="shared" ref="G4:G23" si="0">SUM(E4*60+F4)</f>
        <v>57</v>
      </c>
      <c r="H4" s="51">
        <f t="shared" ref="H4:H12" si="1">IF(G4&lt;&gt;0,D4/G4*60,"")</f>
        <v>31.578947368421051</v>
      </c>
      <c r="I4" s="7">
        <v>50</v>
      </c>
      <c r="J4" s="2"/>
      <c r="K4" s="2"/>
      <c r="L4" s="2">
        <v>30</v>
      </c>
    </row>
    <row r="5" spans="1:12" x14ac:dyDescent="0.25">
      <c r="A5" s="4">
        <v>45850</v>
      </c>
      <c r="B5" s="46" t="s">
        <v>74</v>
      </c>
      <c r="C5" s="6">
        <v>3</v>
      </c>
      <c r="D5" s="2">
        <v>78</v>
      </c>
      <c r="E5" s="2">
        <v>2</v>
      </c>
      <c r="F5" s="2">
        <v>59</v>
      </c>
      <c r="G5" s="50">
        <f t="shared" si="0"/>
        <v>179</v>
      </c>
      <c r="H5" s="51">
        <f t="shared" si="1"/>
        <v>26.145251396648042</v>
      </c>
      <c r="I5" s="3">
        <v>328</v>
      </c>
      <c r="J5" s="2"/>
      <c r="K5" s="2"/>
      <c r="L5" s="2">
        <v>78</v>
      </c>
    </row>
    <row r="6" spans="1:12" x14ac:dyDescent="0.25">
      <c r="A6" s="4">
        <v>45853</v>
      </c>
      <c r="B6" s="46" t="s">
        <v>75</v>
      </c>
      <c r="C6" s="6">
        <v>4</v>
      </c>
      <c r="D6" s="2">
        <v>92</v>
      </c>
      <c r="E6" s="2">
        <v>3</v>
      </c>
      <c r="F6" s="2">
        <v>53</v>
      </c>
      <c r="G6" s="50">
        <f t="shared" si="0"/>
        <v>233</v>
      </c>
      <c r="H6" s="51">
        <f t="shared" si="1"/>
        <v>23.690987124463518</v>
      </c>
      <c r="I6" s="3">
        <v>490</v>
      </c>
      <c r="J6" s="2"/>
      <c r="K6" s="2"/>
      <c r="L6" s="2">
        <v>92</v>
      </c>
    </row>
    <row r="7" spans="1:12" x14ac:dyDescent="0.25">
      <c r="A7" s="4">
        <v>45855</v>
      </c>
      <c r="B7" s="46" t="s">
        <v>76</v>
      </c>
      <c r="C7" s="6">
        <v>5</v>
      </c>
      <c r="D7" s="2">
        <v>91</v>
      </c>
      <c r="E7" s="2">
        <v>3</v>
      </c>
      <c r="F7" s="2">
        <v>37</v>
      </c>
      <c r="G7" s="50">
        <f t="shared" si="0"/>
        <v>217</v>
      </c>
      <c r="H7" s="51">
        <f t="shared" si="1"/>
        <v>25.161290322580648</v>
      </c>
      <c r="I7" s="3">
        <v>534</v>
      </c>
      <c r="J7" s="2"/>
      <c r="K7" s="2"/>
      <c r="L7" s="2">
        <v>91</v>
      </c>
    </row>
    <row r="8" spans="1:12" x14ac:dyDescent="0.25">
      <c r="A8" s="4">
        <v>45855</v>
      </c>
      <c r="B8" s="2" t="s">
        <v>77</v>
      </c>
      <c r="C8" s="6">
        <v>6</v>
      </c>
      <c r="D8" s="2">
        <v>29</v>
      </c>
      <c r="E8" s="2">
        <v>1</v>
      </c>
      <c r="F8" s="2">
        <v>6</v>
      </c>
      <c r="G8" s="50">
        <f t="shared" si="0"/>
        <v>66</v>
      </c>
      <c r="H8" s="51">
        <f t="shared" si="1"/>
        <v>26.363636363636363</v>
      </c>
      <c r="I8" s="3">
        <v>111</v>
      </c>
      <c r="J8" s="2"/>
      <c r="K8" s="2"/>
      <c r="L8" s="2">
        <v>29</v>
      </c>
    </row>
    <row r="9" spans="1:12" x14ac:dyDescent="0.25">
      <c r="A9" s="4">
        <v>45857</v>
      </c>
      <c r="B9" s="45" t="s">
        <v>78</v>
      </c>
      <c r="C9" s="6">
        <v>7</v>
      </c>
      <c r="D9" s="2">
        <v>75</v>
      </c>
      <c r="E9" s="2">
        <v>3</v>
      </c>
      <c r="F9" s="2">
        <v>12</v>
      </c>
      <c r="G9" s="50">
        <f t="shared" si="0"/>
        <v>192</v>
      </c>
      <c r="H9" s="51">
        <f t="shared" si="1"/>
        <v>23.4375</v>
      </c>
      <c r="I9" s="3">
        <v>476</v>
      </c>
      <c r="J9" s="2"/>
      <c r="K9" s="2"/>
      <c r="L9" s="2">
        <v>75</v>
      </c>
    </row>
    <row r="10" spans="1:12" s="28" customFormat="1" x14ac:dyDescent="0.25">
      <c r="A10" s="23">
        <v>45860</v>
      </c>
      <c r="B10" s="49" t="s">
        <v>79</v>
      </c>
      <c r="C10" s="6">
        <v>8</v>
      </c>
      <c r="D10" s="24">
        <v>77</v>
      </c>
      <c r="E10" s="24">
        <v>3</v>
      </c>
      <c r="F10" s="24">
        <v>20</v>
      </c>
      <c r="G10" s="50">
        <f t="shared" si="0"/>
        <v>200</v>
      </c>
      <c r="H10" s="51">
        <f t="shared" si="1"/>
        <v>23.1</v>
      </c>
      <c r="I10" s="27">
        <v>506</v>
      </c>
      <c r="J10" s="24"/>
      <c r="K10" s="2"/>
      <c r="L10" s="2">
        <v>77</v>
      </c>
    </row>
    <row r="11" spans="1:12" s="28" customFormat="1" x14ac:dyDescent="0.25">
      <c r="A11" s="23">
        <v>45864</v>
      </c>
      <c r="B11" s="24" t="s">
        <v>80</v>
      </c>
      <c r="C11" s="6">
        <v>9</v>
      </c>
      <c r="D11" s="24">
        <v>78</v>
      </c>
      <c r="E11" s="24">
        <v>3</v>
      </c>
      <c r="F11" s="24">
        <v>17</v>
      </c>
      <c r="G11" s="50">
        <f t="shared" si="0"/>
        <v>197</v>
      </c>
      <c r="H11" s="51">
        <f t="shared" si="1"/>
        <v>23.756345177664976</v>
      </c>
      <c r="I11" s="26">
        <v>351</v>
      </c>
      <c r="J11" s="24"/>
      <c r="K11" s="2"/>
      <c r="L11" s="2">
        <v>78</v>
      </c>
    </row>
    <row r="12" spans="1:12" s="28" customFormat="1" x14ac:dyDescent="0.25">
      <c r="A12" s="23">
        <v>45869</v>
      </c>
      <c r="B12" s="49" t="s">
        <v>81</v>
      </c>
      <c r="C12" s="6">
        <v>10</v>
      </c>
      <c r="D12" s="24">
        <v>85</v>
      </c>
      <c r="E12" s="24">
        <v>3</v>
      </c>
      <c r="F12" s="24">
        <v>34</v>
      </c>
      <c r="G12" s="50">
        <f t="shared" si="0"/>
        <v>214</v>
      </c>
      <c r="H12" s="51">
        <f t="shared" si="1"/>
        <v>23.831775700934578</v>
      </c>
      <c r="I12" s="26">
        <v>425</v>
      </c>
      <c r="J12" s="24"/>
      <c r="K12" s="2"/>
      <c r="L12" s="2">
        <v>85</v>
      </c>
    </row>
    <row r="13" spans="1:12" s="28" customFormat="1" x14ac:dyDescent="0.25">
      <c r="A13" s="23"/>
      <c r="B13" s="24"/>
      <c r="C13" s="6">
        <v>11</v>
      </c>
      <c r="D13" s="24"/>
      <c r="E13" s="24"/>
      <c r="F13" s="24"/>
      <c r="G13" s="50">
        <f t="shared" si="0"/>
        <v>0</v>
      </c>
      <c r="H13" s="51" t="str">
        <f t="shared" ref="H13:H23" si="2">IF(G13&lt;&gt;0,D13/G13*60,"")</f>
        <v/>
      </c>
      <c r="I13" s="26"/>
      <c r="J13" s="24"/>
      <c r="K13" s="2"/>
      <c r="L13" s="2"/>
    </row>
    <row r="14" spans="1:12" s="28" customFormat="1" x14ac:dyDescent="0.25">
      <c r="A14" s="23"/>
      <c r="B14" s="24"/>
      <c r="C14" s="6">
        <v>12</v>
      </c>
      <c r="D14" s="24"/>
      <c r="E14" s="24"/>
      <c r="F14" s="24"/>
      <c r="G14" s="50">
        <f t="shared" si="0"/>
        <v>0</v>
      </c>
      <c r="H14" s="51" t="str">
        <f t="shared" si="2"/>
        <v/>
      </c>
      <c r="I14" s="26"/>
      <c r="J14" s="24"/>
      <c r="K14" s="2"/>
      <c r="L14" s="2"/>
    </row>
    <row r="15" spans="1:12" s="28" customFormat="1" x14ac:dyDescent="0.25">
      <c r="A15" s="23"/>
      <c r="B15" s="24"/>
      <c r="C15" s="6">
        <v>13</v>
      </c>
      <c r="D15" s="24"/>
      <c r="E15" s="24"/>
      <c r="F15" s="24"/>
      <c r="G15" s="50">
        <f t="shared" si="0"/>
        <v>0</v>
      </c>
      <c r="H15" s="51" t="str">
        <f t="shared" si="2"/>
        <v/>
      </c>
      <c r="I15" s="26"/>
      <c r="J15" s="24"/>
      <c r="K15" s="2"/>
      <c r="L15" s="2"/>
    </row>
    <row r="16" spans="1:12" s="28" customFormat="1" x14ac:dyDescent="0.25">
      <c r="A16" s="23"/>
      <c r="B16" s="24"/>
      <c r="C16" s="6">
        <v>14</v>
      </c>
      <c r="D16" s="24"/>
      <c r="E16" s="24"/>
      <c r="F16" s="24"/>
      <c r="G16" s="50">
        <f t="shared" si="0"/>
        <v>0</v>
      </c>
      <c r="H16" s="51" t="str">
        <f t="shared" si="2"/>
        <v/>
      </c>
      <c r="I16" s="26"/>
      <c r="J16" s="24"/>
      <c r="K16" s="2"/>
      <c r="L16" s="2"/>
    </row>
    <row r="17" spans="1:12" s="28" customFormat="1" x14ac:dyDescent="0.25">
      <c r="A17" s="23"/>
      <c r="B17" s="24"/>
      <c r="C17" s="6">
        <v>15</v>
      </c>
      <c r="D17" s="24"/>
      <c r="E17" s="24"/>
      <c r="F17" s="24"/>
      <c r="G17" s="50">
        <f t="shared" si="0"/>
        <v>0</v>
      </c>
      <c r="H17" s="51" t="str">
        <f t="shared" si="2"/>
        <v/>
      </c>
      <c r="I17" s="26"/>
      <c r="J17" s="24"/>
      <c r="K17" s="2"/>
      <c r="L17" s="2"/>
    </row>
    <row r="18" spans="1:12" x14ac:dyDescent="0.25">
      <c r="A18" s="23"/>
      <c r="B18" s="24"/>
      <c r="C18" s="6">
        <v>16</v>
      </c>
      <c r="D18" s="24"/>
      <c r="E18" s="24"/>
      <c r="F18" s="24"/>
      <c r="G18" s="50">
        <f t="shared" si="0"/>
        <v>0</v>
      </c>
      <c r="H18" s="51" t="str">
        <f t="shared" si="2"/>
        <v/>
      </c>
      <c r="I18" s="26"/>
      <c r="J18" s="24"/>
      <c r="K18" s="2"/>
      <c r="L18" s="2"/>
    </row>
    <row r="19" spans="1:12" x14ac:dyDescent="0.25">
      <c r="A19" s="23"/>
      <c r="B19" s="24"/>
      <c r="C19" s="6">
        <v>17</v>
      </c>
      <c r="D19" s="24"/>
      <c r="E19" s="24"/>
      <c r="F19" s="24"/>
      <c r="G19" s="50">
        <f t="shared" si="0"/>
        <v>0</v>
      </c>
      <c r="H19" s="51" t="str">
        <f t="shared" si="2"/>
        <v/>
      </c>
      <c r="I19" s="26"/>
      <c r="J19" s="24"/>
      <c r="K19" s="2"/>
      <c r="L19" s="2"/>
    </row>
    <row r="20" spans="1:12" x14ac:dyDescent="0.25">
      <c r="A20" s="23"/>
      <c r="B20" s="24"/>
      <c r="C20" s="6">
        <v>18</v>
      </c>
      <c r="D20" s="2"/>
      <c r="E20" s="2"/>
      <c r="F20" s="2"/>
      <c r="G20" s="50">
        <f t="shared" si="0"/>
        <v>0</v>
      </c>
      <c r="H20" s="51" t="str">
        <f t="shared" si="2"/>
        <v/>
      </c>
      <c r="I20" s="3"/>
      <c r="J20" s="24"/>
      <c r="K20" s="2"/>
      <c r="L20" s="2"/>
    </row>
    <row r="21" spans="1:12" x14ac:dyDescent="0.25">
      <c r="A21" s="23"/>
      <c r="B21" s="24"/>
      <c r="C21" s="6">
        <v>19</v>
      </c>
      <c r="D21" s="2"/>
      <c r="E21" s="2"/>
      <c r="F21" s="2"/>
      <c r="G21" s="50">
        <f t="shared" si="0"/>
        <v>0</v>
      </c>
      <c r="H21" s="51" t="str">
        <f t="shared" si="2"/>
        <v/>
      </c>
      <c r="I21" s="3"/>
      <c r="J21" s="24"/>
      <c r="K21" s="2"/>
      <c r="L21" s="2"/>
    </row>
    <row r="22" spans="1:12" x14ac:dyDescent="0.25">
      <c r="A22" s="4"/>
      <c r="B22" s="24"/>
      <c r="C22" s="6">
        <v>20</v>
      </c>
      <c r="D22" s="2"/>
      <c r="E22" s="2"/>
      <c r="F22" s="2"/>
      <c r="G22" s="50">
        <f t="shared" si="0"/>
        <v>0</v>
      </c>
      <c r="H22" s="51" t="str">
        <f t="shared" si="2"/>
        <v/>
      </c>
      <c r="I22" s="3"/>
      <c r="J22" s="24"/>
      <c r="K22" s="2"/>
      <c r="L22" s="2"/>
    </row>
    <row r="23" spans="1:12" x14ac:dyDescent="0.25">
      <c r="A23" s="4"/>
      <c r="B23" s="2"/>
      <c r="C23" s="6">
        <v>21</v>
      </c>
      <c r="D23" s="2"/>
      <c r="E23" s="2"/>
      <c r="F23" s="2"/>
      <c r="G23" s="50">
        <f t="shared" si="0"/>
        <v>0</v>
      </c>
      <c r="H23" s="51" t="str">
        <f t="shared" si="2"/>
        <v/>
      </c>
      <c r="I23" s="3"/>
      <c r="J23" s="24"/>
      <c r="K23" s="2"/>
      <c r="L23" s="2"/>
    </row>
    <row r="24" spans="1:12" x14ac:dyDescent="0.25">
      <c r="D24">
        <f>SUM(D3:D23)</f>
        <v>733</v>
      </c>
      <c r="I24" s="1">
        <f>SUM(I3:I23)</f>
        <v>3815</v>
      </c>
      <c r="K24" s="1">
        <f>SUM(K3:K23)</f>
        <v>0</v>
      </c>
      <c r="L24" s="1">
        <f>SUM(L3:L23)</f>
        <v>733</v>
      </c>
    </row>
    <row r="25" spans="1:12" x14ac:dyDescent="0.25">
      <c r="A25" t="s">
        <v>26</v>
      </c>
      <c r="B25">
        <f>SUM(Juin!B25+Juil!D24)</f>
        <v>4454</v>
      </c>
      <c r="H25" s="1">
        <f>SUM(Juin!H25+Juil!I24)</f>
        <v>5086</v>
      </c>
      <c r="K25" s="1">
        <f>SUM(Juin!K25+Juil!K24)</f>
        <v>269</v>
      </c>
      <c r="L25" s="1">
        <f>SUM(Juin!L25+Juil!L24)</f>
        <v>4185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6"/>
  <sheetViews>
    <sheetView topLeftCell="A5" zoomScaleNormal="100" workbookViewId="0">
      <selection activeCell="A11" sqref="A11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14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45871</v>
      </c>
      <c r="B3" s="45" t="s">
        <v>85</v>
      </c>
      <c r="C3" s="6">
        <v>1</v>
      </c>
      <c r="D3" s="6">
        <v>80</v>
      </c>
      <c r="E3" s="6">
        <v>3</v>
      </c>
      <c r="F3" s="6">
        <v>30</v>
      </c>
      <c r="G3" s="2">
        <f t="shared" ref="G3:G22" si="0">SUM(E3*60+F3)</f>
        <v>210</v>
      </c>
      <c r="H3" s="7">
        <f>SUM(D3/G3*60)</f>
        <v>22.857142857142854</v>
      </c>
      <c r="I3" s="7">
        <v>387</v>
      </c>
      <c r="J3" s="24"/>
      <c r="K3" s="6"/>
      <c r="L3" s="6">
        <v>80</v>
      </c>
    </row>
    <row r="4" spans="1:12" x14ac:dyDescent="0.25">
      <c r="A4" s="4">
        <v>45874</v>
      </c>
      <c r="B4" s="52" t="s">
        <v>84</v>
      </c>
      <c r="C4" s="6">
        <v>2</v>
      </c>
      <c r="D4" s="2">
        <v>99</v>
      </c>
      <c r="E4" s="2">
        <v>3</v>
      </c>
      <c r="F4" s="2">
        <v>53</v>
      </c>
      <c r="G4" s="2">
        <f t="shared" si="0"/>
        <v>233</v>
      </c>
      <c r="H4" s="3">
        <f t="shared" ref="H4:H23" si="1">SUM(D4/G4*60)</f>
        <v>25.493562231759654</v>
      </c>
      <c r="I4" s="7">
        <v>361</v>
      </c>
      <c r="J4" s="24"/>
      <c r="K4" s="2"/>
      <c r="L4" s="2">
        <v>99</v>
      </c>
    </row>
    <row r="5" spans="1:12" x14ac:dyDescent="0.25">
      <c r="A5" s="4">
        <v>45876</v>
      </c>
      <c r="B5" s="46" t="s">
        <v>83</v>
      </c>
      <c r="C5" s="6">
        <v>3</v>
      </c>
      <c r="D5" s="2">
        <v>97</v>
      </c>
      <c r="E5" s="2">
        <v>4</v>
      </c>
      <c r="F5" s="2">
        <v>5</v>
      </c>
      <c r="G5" s="2">
        <f t="shared" si="0"/>
        <v>245</v>
      </c>
      <c r="H5" s="3">
        <f t="shared" si="1"/>
        <v>23.755102040816325</v>
      </c>
      <c r="I5" s="3">
        <v>573</v>
      </c>
      <c r="J5" s="24"/>
      <c r="K5" s="2"/>
      <c r="L5" s="2">
        <v>97</v>
      </c>
    </row>
    <row r="6" spans="1:12" x14ac:dyDescent="0.25">
      <c r="A6" s="4">
        <v>45878</v>
      </c>
      <c r="B6" s="46" t="s">
        <v>82</v>
      </c>
      <c r="C6" s="6">
        <v>4</v>
      </c>
      <c r="D6" s="2">
        <v>85</v>
      </c>
      <c r="E6" s="2">
        <v>3</v>
      </c>
      <c r="F6" s="2">
        <v>27</v>
      </c>
      <c r="G6" s="2">
        <f t="shared" si="0"/>
        <v>207</v>
      </c>
      <c r="H6" s="3">
        <f t="shared" si="1"/>
        <v>24.637681159420289</v>
      </c>
      <c r="I6" s="3">
        <v>310</v>
      </c>
      <c r="J6" s="2"/>
      <c r="K6" s="2"/>
      <c r="L6" s="2">
        <v>85</v>
      </c>
    </row>
    <row r="7" spans="1:12" x14ac:dyDescent="0.25">
      <c r="A7" s="4">
        <v>45881</v>
      </c>
      <c r="B7" s="45" t="s">
        <v>86</v>
      </c>
      <c r="C7" s="6">
        <v>5</v>
      </c>
      <c r="D7" s="2">
        <v>79</v>
      </c>
      <c r="E7" s="2">
        <v>3</v>
      </c>
      <c r="F7" s="2">
        <v>32</v>
      </c>
      <c r="G7" s="2">
        <f t="shared" si="0"/>
        <v>212</v>
      </c>
      <c r="H7" s="3">
        <f t="shared" si="1"/>
        <v>22.358490566037734</v>
      </c>
      <c r="I7" s="3">
        <v>465</v>
      </c>
      <c r="J7" s="2"/>
      <c r="K7" s="2"/>
      <c r="L7" s="2">
        <v>79</v>
      </c>
    </row>
    <row r="8" spans="1:12" x14ac:dyDescent="0.25">
      <c r="A8" s="4">
        <v>45883</v>
      </c>
      <c r="B8" s="45" t="s">
        <v>87</v>
      </c>
      <c r="C8" s="6">
        <v>6</v>
      </c>
      <c r="D8" s="2">
        <v>89</v>
      </c>
      <c r="E8" s="2">
        <v>3</v>
      </c>
      <c r="F8" s="2">
        <v>52</v>
      </c>
      <c r="G8" s="2">
        <f t="shared" si="0"/>
        <v>232</v>
      </c>
      <c r="H8" s="3">
        <f t="shared" si="1"/>
        <v>23.017241379310345</v>
      </c>
      <c r="I8" s="3">
        <v>478</v>
      </c>
      <c r="J8" s="2"/>
      <c r="K8" s="2"/>
      <c r="L8" s="2">
        <v>89</v>
      </c>
    </row>
    <row r="9" spans="1:12" x14ac:dyDescent="0.25">
      <c r="A9" s="4">
        <v>45888</v>
      </c>
      <c r="B9" s="53" t="s">
        <v>88</v>
      </c>
      <c r="C9" s="6">
        <v>7</v>
      </c>
      <c r="D9" s="2">
        <v>75</v>
      </c>
      <c r="E9" s="2">
        <v>3</v>
      </c>
      <c r="F9" s="2">
        <v>15</v>
      </c>
      <c r="G9" s="2">
        <f t="shared" si="0"/>
        <v>195</v>
      </c>
      <c r="H9" s="3">
        <f t="shared" si="1"/>
        <v>23.076923076923077</v>
      </c>
      <c r="I9" s="3">
        <v>402</v>
      </c>
      <c r="J9" s="2"/>
      <c r="K9" s="2"/>
      <c r="L9" s="2">
        <v>75</v>
      </c>
    </row>
    <row r="10" spans="1:12" s="22" customFormat="1" x14ac:dyDescent="0.25">
      <c r="A10" s="4">
        <v>45896</v>
      </c>
      <c r="B10" s="2" t="s">
        <v>89</v>
      </c>
      <c r="C10" s="41">
        <v>8</v>
      </c>
      <c r="D10" s="40">
        <v>20</v>
      </c>
      <c r="E10" s="40">
        <v>1</v>
      </c>
      <c r="F10" s="40">
        <v>19</v>
      </c>
      <c r="G10" s="40">
        <f t="shared" si="0"/>
        <v>79</v>
      </c>
      <c r="H10" s="42">
        <f t="shared" si="1"/>
        <v>15.18987341772152</v>
      </c>
      <c r="I10" s="43">
        <v>34</v>
      </c>
      <c r="J10" s="2"/>
      <c r="K10" s="2">
        <v>20</v>
      </c>
      <c r="L10" s="2"/>
    </row>
    <row r="11" spans="1:12" s="22" customFormat="1" x14ac:dyDescent="0.25">
      <c r="A11" s="44"/>
      <c r="B11" s="40"/>
      <c r="C11" s="41">
        <v>9</v>
      </c>
      <c r="D11" s="40"/>
      <c r="E11" s="40"/>
      <c r="F11" s="40"/>
      <c r="G11" s="40">
        <f t="shared" si="0"/>
        <v>0</v>
      </c>
      <c r="H11" s="42" t="e">
        <f t="shared" si="1"/>
        <v>#DIV/0!</v>
      </c>
      <c r="I11" s="42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ref="G12" si="2">SUM(E12*60+F12)</f>
        <v>0</v>
      </c>
      <c r="H12" s="3" t="e">
        <f t="shared" ref="H12" si="3">SUM(D12/G12*60)</f>
        <v>#DIV/0!</v>
      </c>
      <c r="I12" s="3"/>
      <c r="J12" s="6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6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17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0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ref="G23" si="4">SUM(E23*60+F23)</f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A24" s="18"/>
      <c r="D24">
        <f>SUM(D2:D23)</f>
        <v>624</v>
      </c>
      <c r="I24" s="1">
        <f>SUM(I3:I23)</f>
        <v>3010</v>
      </c>
      <c r="K24" s="1">
        <f>SUM(K1:K23)</f>
        <v>20</v>
      </c>
      <c r="L24" s="1">
        <f>SUM(L1:L23)</f>
        <v>604</v>
      </c>
    </row>
    <row r="25" spans="1:12" x14ac:dyDescent="0.25">
      <c r="A25" t="s">
        <v>26</v>
      </c>
      <c r="B25">
        <f>SUM(Juil!B25+Aout!D24)</f>
        <v>5078</v>
      </c>
      <c r="H25" s="1">
        <f>SUM(Juil!H25+Aout!I24)</f>
        <v>8096</v>
      </c>
      <c r="K25" s="1">
        <f>SUM(Juil!K25+Aout!K24)</f>
        <v>289</v>
      </c>
      <c r="L25" s="1">
        <f>SUM(Juil!L25+Aout!L24)</f>
        <v>4789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  <row r="36" spans="4:4" x14ac:dyDescent="0.25">
      <c r="D36" s="1"/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workbookViewId="0">
      <selection activeCell="E31" sqref="E31"/>
    </sheetView>
  </sheetViews>
  <sheetFormatPr baseColWidth="10" defaultRowHeight="15" x14ac:dyDescent="0.25"/>
  <cols>
    <col min="1" max="1" width="12.5703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6.42578125" customWidth="1"/>
    <col min="11" max="12" width="8.42578125" customWidth="1"/>
  </cols>
  <sheetData>
    <row r="1" spans="1:12" ht="27" thickBot="1" x14ac:dyDescent="0.45">
      <c r="A1" s="55" t="s">
        <v>15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12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45909</v>
      </c>
      <c r="B3" s="2" t="s">
        <v>90</v>
      </c>
      <c r="C3" s="6">
        <v>1</v>
      </c>
      <c r="D3" s="6">
        <v>96</v>
      </c>
      <c r="E3" s="6">
        <v>3</v>
      </c>
      <c r="F3" s="6">
        <v>57</v>
      </c>
      <c r="G3" s="6">
        <f>SUM(E3*60+F3)</f>
        <v>237</v>
      </c>
      <c r="H3" s="7">
        <f>SUM(D3/G3*60)</f>
        <v>24.303797468354428</v>
      </c>
      <c r="I3" s="7">
        <v>476</v>
      </c>
      <c r="J3" s="2"/>
      <c r="K3" s="6"/>
      <c r="L3" s="6">
        <v>96</v>
      </c>
    </row>
    <row r="4" spans="1:12" x14ac:dyDescent="0.25">
      <c r="A4" s="4">
        <v>45916</v>
      </c>
      <c r="B4" s="2" t="s">
        <v>91</v>
      </c>
      <c r="C4" s="6">
        <v>2</v>
      </c>
      <c r="D4" s="2">
        <v>92</v>
      </c>
      <c r="E4" s="2">
        <v>3</v>
      </c>
      <c r="F4" s="2">
        <v>41</v>
      </c>
      <c r="G4" s="2">
        <f t="shared" ref="G4:G23" si="0">SUM(E4*60+F4)</f>
        <v>221</v>
      </c>
      <c r="H4" s="3">
        <f t="shared" ref="H4:H23" si="1">SUM(D4/G4*60)</f>
        <v>24.97737556561086</v>
      </c>
      <c r="I4" s="7">
        <v>572</v>
      </c>
      <c r="J4" s="2"/>
      <c r="K4" s="2"/>
      <c r="L4" s="2">
        <v>92</v>
      </c>
    </row>
    <row r="5" spans="1:12" x14ac:dyDescent="0.25">
      <c r="A5" s="4">
        <v>45917</v>
      </c>
      <c r="B5" s="2" t="s">
        <v>92</v>
      </c>
      <c r="C5" s="6">
        <v>3</v>
      </c>
      <c r="D5" s="2">
        <v>20</v>
      </c>
      <c r="E5" s="2">
        <v>1</v>
      </c>
      <c r="F5" s="2">
        <v>10</v>
      </c>
      <c r="G5" s="2">
        <f t="shared" si="0"/>
        <v>70</v>
      </c>
      <c r="H5" s="3">
        <f t="shared" si="1"/>
        <v>17.142857142857142</v>
      </c>
      <c r="I5" s="3">
        <v>46</v>
      </c>
      <c r="J5" s="2"/>
      <c r="K5" s="2"/>
      <c r="L5" s="2">
        <v>20</v>
      </c>
    </row>
    <row r="6" spans="1:12" x14ac:dyDescent="0.25">
      <c r="A6" s="4">
        <v>45918</v>
      </c>
      <c r="B6" s="2" t="s">
        <v>93</v>
      </c>
      <c r="C6" s="6">
        <v>2</v>
      </c>
      <c r="D6" s="2">
        <v>103</v>
      </c>
      <c r="E6" s="2">
        <v>4</v>
      </c>
      <c r="F6" s="2">
        <v>15</v>
      </c>
      <c r="G6" s="2">
        <f t="shared" ref="G6" si="2">SUM(E6*60+F6)</f>
        <v>255</v>
      </c>
      <c r="H6" s="3">
        <f t="shared" ref="H6" si="3">SUM(D6/G6*60)</f>
        <v>24.235294117647058</v>
      </c>
      <c r="I6" s="3">
        <v>582</v>
      </c>
      <c r="J6" s="2"/>
      <c r="K6" s="2"/>
      <c r="L6" s="2">
        <v>103</v>
      </c>
    </row>
    <row r="7" spans="1:12" x14ac:dyDescent="0.25">
      <c r="A7" s="4">
        <v>45925</v>
      </c>
      <c r="B7" s="2" t="s">
        <v>94</v>
      </c>
      <c r="C7" s="6">
        <v>5</v>
      </c>
      <c r="D7" s="2">
        <v>93</v>
      </c>
      <c r="E7" s="2">
        <v>3</v>
      </c>
      <c r="F7" s="2">
        <v>44</v>
      </c>
      <c r="G7" s="2">
        <f t="shared" si="0"/>
        <v>224</v>
      </c>
      <c r="H7" s="3">
        <f t="shared" si="1"/>
        <v>24.910714285714288</v>
      </c>
      <c r="I7" s="3">
        <v>497</v>
      </c>
      <c r="J7" s="2"/>
      <c r="K7" s="2"/>
      <c r="L7" s="2">
        <v>93</v>
      </c>
    </row>
    <row r="8" spans="1:12" x14ac:dyDescent="0.25">
      <c r="A8" s="4">
        <v>45927</v>
      </c>
      <c r="B8" s="2" t="s">
        <v>95</v>
      </c>
      <c r="C8" s="6">
        <v>6</v>
      </c>
      <c r="D8" s="2">
        <v>77</v>
      </c>
      <c r="E8" s="2">
        <v>3</v>
      </c>
      <c r="F8" s="2">
        <v>14</v>
      </c>
      <c r="G8" s="2">
        <f t="shared" si="0"/>
        <v>194</v>
      </c>
      <c r="H8" s="3">
        <f t="shared" si="1"/>
        <v>23.814432989690719</v>
      </c>
      <c r="I8" s="3">
        <v>379</v>
      </c>
      <c r="J8" s="2"/>
      <c r="K8" s="2"/>
      <c r="L8" s="2">
        <v>77</v>
      </c>
    </row>
    <row r="9" spans="1:12" x14ac:dyDescent="0.25">
      <c r="A9" s="4">
        <v>45930</v>
      </c>
      <c r="B9" s="2" t="s">
        <v>96</v>
      </c>
      <c r="C9" s="6">
        <v>7</v>
      </c>
      <c r="D9" s="2">
        <v>103</v>
      </c>
      <c r="E9" s="2">
        <v>4</v>
      </c>
      <c r="F9" s="2">
        <v>1</v>
      </c>
      <c r="G9" s="2">
        <f t="shared" si="0"/>
        <v>241</v>
      </c>
      <c r="H9" s="3">
        <f t="shared" si="1"/>
        <v>25.643153526970952</v>
      </c>
      <c r="I9" s="3">
        <v>375</v>
      </c>
      <c r="J9" s="2"/>
      <c r="K9" s="2"/>
      <c r="L9" s="2">
        <v>103</v>
      </c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584</v>
      </c>
      <c r="I24" s="1">
        <f>SUM(I3:I23)</f>
        <v>2927</v>
      </c>
      <c r="K24" s="1">
        <f>SUM(K1:K23)</f>
        <v>0</v>
      </c>
      <c r="L24" s="1">
        <f>SUM(L1:L23)</f>
        <v>584</v>
      </c>
    </row>
    <row r="25" spans="1:12" x14ac:dyDescent="0.25">
      <c r="A25" t="s">
        <v>26</v>
      </c>
      <c r="B25">
        <f>SUM(Aout!B25+Sept!D24)</f>
        <v>5662</v>
      </c>
      <c r="H25" s="1">
        <f>SUM(Aout!H25+Sept!I24)</f>
        <v>11023</v>
      </c>
      <c r="K25" s="1">
        <f>SUM(Aout!K25+Sept!K24)</f>
        <v>289</v>
      </c>
      <c r="L25" s="1">
        <f>SUM(Aout!L25+Sept!L24)</f>
        <v>5373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0"/>
  <sheetViews>
    <sheetView topLeftCell="B1" workbookViewId="0">
      <selection activeCell="K16" sqref="K16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.140625" customWidth="1"/>
  </cols>
  <sheetData>
    <row r="1" spans="1:12" ht="27" thickBot="1" x14ac:dyDescent="0.45">
      <c r="A1" s="55" t="s">
        <v>16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45932</v>
      </c>
      <c r="B3" s="6" t="s">
        <v>97</v>
      </c>
      <c r="C3" s="6">
        <v>1</v>
      </c>
      <c r="D3" s="6">
        <v>101</v>
      </c>
      <c r="E3" s="6">
        <v>4</v>
      </c>
      <c r="F3" s="6">
        <v>9</v>
      </c>
      <c r="G3" s="6">
        <f>SUM(E3*60+F3)</f>
        <v>249</v>
      </c>
      <c r="H3" s="7">
        <f>SUM(D3/G3*60)</f>
        <v>24.337349397590362</v>
      </c>
      <c r="I3" s="7">
        <v>536</v>
      </c>
      <c r="J3" s="6"/>
      <c r="K3" s="6"/>
      <c r="L3" s="6">
        <v>101</v>
      </c>
    </row>
    <row r="4" spans="1:12" x14ac:dyDescent="0.25">
      <c r="A4" s="4">
        <v>45937</v>
      </c>
      <c r="B4" s="45" t="s">
        <v>98</v>
      </c>
      <c r="C4" s="6">
        <v>2</v>
      </c>
      <c r="D4" s="2">
        <v>110</v>
      </c>
      <c r="E4" s="2">
        <v>4</v>
      </c>
      <c r="F4" s="2">
        <v>37</v>
      </c>
      <c r="G4" s="2">
        <f t="shared" ref="G4:G23" si="0">SUM(E4*60+F4)</f>
        <v>277</v>
      </c>
      <c r="H4" s="3">
        <f t="shared" ref="H4:H23" si="1">SUM(D4/G4*60)</f>
        <v>23.826714801444041</v>
      </c>
      <c r="I4" s="7">
        <v>432</v>
      </c>
      <c r="J4" s="2"/>
      <c r="K4" s="2"/>
      <c r="L4" s="2">
        <v>110</v>
      </c>
    </row>
    <row r="5" spans="1:12" x14ac:dyDescent="0.25">
      <c r="A5" s="4">
        <v>45941</v>
      </c>
      <c r="B5" s="45" t="s">
        <v>33</v>
      </c>
      <c r="C5" s="6">
        <v>3</v>
      </c>
      <c r="D5" s="2">
        <v>64</v>
      </c>
      <c r="E5" s="2">
        <v>2</v>
      </c>
      <c r="F5" s="2">
        <v>49</v>
      </c>
      <c r="G5" s="2">
        <f t="shared" si="0"/>
        <v>169</v>
      </c>
      <c r="H5" s="3">
        <f t="shared" si="1"/>
        <v>22.721893491124259</v>
      </c>
      <c r="I5" s="3">
        <v>236</v>
      </c>
      <c r="J5" s="2"/>
      <c r="K5" s="2"/>
      <c r="L5" s="2">
        <v>64</v>
      </c>
    </row>
    <row r="6" spans="1:12" x14ac:dyDescent="0.25">
      <c r="A6" s="4">
        <v>45944</v>
      </c>
      <c r="B6" s="45" t="s">
        <v>99</v>
      </c>
      <c r="C6" s="6">
        <v>4</v>
      </c>
      <c r="D6" s="2">
        <v>91</v>
      </c>
      <c r="E6" s="2">
        <v>3</v>
      </c>
      <c r="F6" s="2">
        <v>42</v>
      </c>
      <c r="G6" s="2">
        <f t="shared" si="0"/>
        <v>222</v>
      </c>
      <c r="H6" s="3">
        <f t="shared" si="1"/>
        <v>24.594594594594593</v>
      </c>
      <c r="I6" s="3">
        <v>556</v>
      </c>
      <c r="J6" s="2"/>
      <c r="K6" s="2"/>
      <c r="L6" s="2">
        <v>91</v>
      </c>
    </row>
    <row r="7" spans="1:12" x14ac:dyDescent="0.25">
      <c r="A7" s="4">
        <v>45946</v>
      </c>
      <c r="B7" s="45" t="s">
        <v>100</v>
      </c>
      <c r="C7" s="6">
        <v>5</v>
      </c>
      <c r="D7" s="2">
        <v>102</v>
      </c>
      <c r="E7" s="2">
        <v>4</v>
      </c>
      <c r="F7" s="2">
        <v>7</v>
      </c>
      <c r="G7" s="2">
        <f t="shared" si="0"/>
        <v>247</v>
      </c>
      <c r="H7" s="3">
        <f t="shared" si="1"/>
        <v>24.777327935222672</v>
      </c>
      <c r="I7" s="3">
        <v>619</v>
      </c>
      <c r="J7" s="2"/>
      <c r="K7" s="2"/>
      <c r="L7" s="2">
        <v>102</v>
      </c>
    </row>
    <row r="8" spans="1:12" x14ac:dyDescent="0.25">
      <c r="A8" s="4">
        <v>45958</v>
      </c>
      <c r="B8" s="45" t="s">
        <v>101</v>
      </c>
      <c r="C8" s="6">
        <v>6</v>
      </c>
      <c r="D8" s="2">
        <v>88</v>
      </c>
      <c r="E8" s="2">
        <v>3</v>
      </c>
      <c r="F8" s="2">
        <v>43</v>
      </c>
      <c r="G8" s="2">
        <f t="shared" si="0"/>
        <v>223</v>
      </c>
      <c r="H8" s="3">
        <f t="shared" si="1"/>
        <v>23.677130044843047</v>
      </c>
      <c r="I8" s="3">
        <v>470</v>
      </c>
      <c r="J8" s="2"/>
      <c r="K8" s="2"/>
      <c r="L8" s="2">
        <v>88</v>
      </c>
    </row>
    <row r="9" spans="1:12" x14ac:dyDescent="0.25">
      <c r="A9" s="4">
        <v>45960</v>
      </c>
      <c r="B9" s="45" t="s">
        <v>102</v>
      </c>
      <c r="C9" s="6">
        <v>7</v>
      </c>
      <c r="D9" s="2">
        <v>65</v>
      </c>
      <c r="E9" s="2">
        <v>2</v>
      </c>
      <c r="F9" s="2">
        <v>41</v>
      </c>
      <c r="G9" s="2">
        <f t="shared" si="0"/>
        <v>161</v>
      </c>
      <c r="H9" s="3">
        <f t="shared" si="1"/>
        <v>24.22360248447205</v>
      </c>
      <c r="I9" s="3">
        <v>366</v>
      </c>
      <c r="J9" s="2"/>
      <c r="K9" s="2"/>
      <c r="L9" s="2">
        <v>65</v>
      </c>
    </row>
    <row r="10" spans="1:12" x14ac:dyDescent="0.25">
      <c r="A10" s="4"/>
      <c r="B10" s="19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621</v>
      </c>
      <c r="I24" s="1">
        <f>SUM(I3:I23)</f>
        <v>3215</v>
      </c>
      <c r="K24" s="1">
        <f>SUM(K1:K23)</f>
        <v>0</v>
      </c>
      <c r="L24" s="1">
        <f>SUM(L1:L23)</f>
        <v>621</v>
      </c>
    </row>
    <row r="25" spans="1:12" x14ac:dyDescent="0.25">
      <c r="A25" t="s">
        <v>26</v>
      </c>
      <c r="B25">
        <f>SUM(Sept!B25+Oct!D24)</f>
        <v>6283</v>
      </c>
      <c r="H25" s="1">
        <f>SUM(Sept!H25+Oct!I24)</f>
        <v>14238</v>
      </c>
      <c r="K25" s="1">
        <f>SUM(Sept!K25+Oct!K24)</f>
        <v>289</v>
      </c>
      <c r="L25" s="1">
        <f>SUM(Sept!L25+Oct!L24)</f>
        <v>5994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A716/10=SUM(L26:L29)</f>
        <v>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0"/>
  <sheetViews>
    <sheetView topLeftCell="B1" workbookViewId="0">
      <selection activeCell="L11" sqref="L11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8" customWidth="1"/>
  </cols>
  <sheetData>
    <row r="1" spans="1:12" ht="27" thickBot="1" x14ac:dyDescent="0.45">
      <c r="A1" s="55" t="s">
        <v>17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45965</v>
      </c>
      <c r="B3" s="45" t="s">
        <v>103</v>
      </c>
      <c r="C3" s="6">
        <v>1</v>
      </c>
      <c r="D3" s="6">
        <v>92</v>
      </c>
      <c r="E3" s="6">
        <v>3</v>
      </c>
      <c r="F3" s="6">
        <v>54</v>
      </c>
      <c r="G3" s="6">
        <f>SUM(E3*60+F3)</f>
        <v>234</v>
      </c>
      <c r="H3" s="7">
        <f>SUM(D3/G3*60)</f>
        <v>23.589743589743588</v>
      </c>
      <c r="I3" s="7">
        <v>513</v>
      </c>
      <c r="J3" s="2"/>
      <c r="K3" s="6"/>
      <c r="L3" s="6">
        <v>92</v>
      </c>
    </row>
    <row r="4" spans="1:12" x14ac:dyDescent="0.25">
      <c r="A4" s="4">
        <v>45974</v>
      </c>
      <c r="B4" s="45" t="s">
        <v>104</v>
      </c>
      <c r="C4" s="6">
        <v>2</v>
      </c>
      <c r="D4" s="2">
        <v>78</v>
      </c>
      <c r="E4" s="2">
        <v>3</v>
      </c>
      <c r="F4" s="2">
        <v>25</v>
      </c>
      <c r="G4" s="2">
        <f>SUM(E4*60+F4)</f>
        <v>205</v>
      </c>
      <c r="H4" s="3">
        <f t="shared" ref="H4:H23" si="0">SUM(D4/G4*60)</f>
        <v>22.829268292682926</v>
      </c>
      <c r="I4" s="7">
        <v>458</v>
      </c>
      <c r="J4" s="2"/>
      <c r="K4" s="2"/>
      <c r="L4" s="2">
        <v>78</v>
      </c>
    </row>
    <row r="5" spans="1:12" x14ac:dyDescent="0.25">
      <c r="A5" s="4">
        <v>45979</v>
      </c>
      <c r="B5" s="45" t="s">
        <v>105</v>
      </c>
      <c r="C5" s="6">
        <v>3</v>
      </c>
      <c r="D5" s="2">
        <v>88</v>
      </c>
      <c r="E5" s="2">
        <v>3</v>
      </c>
      <c r="F5" s="2">
        <v>39</v>
      </c>
      <c r="G5" s="2">
        <f>SUM(E5*60+F5)</f>
        <v>219</v>
      </c>
      <c r="H5" s="3">
        <f t="shared" si="0"/>
        <v>24.109589041095887</v>
      </c>
      <c r="I5" s="3">
        <v>470</v>
      </c>
      <c r="J5" s="2"/>
      <c r="K5" s="2"/>
      <c r="L5" s="2">
        <v>88</v>
      </c>
    </row>
    <row r="6" spans="1:12" x14ac:dyDescent="0.25">
      <c r="A6" s="4">
        <v>45986</v>
      </c>
      <c r="B6" s="45" t="s">
        <v>106</v>
      </c>
      <c r="C6" s="6">
        <v>4</v>
      </c>
      <c r="D6" s="2">
        <v>77</v>
      </c>
      <c r="E6" s="2">
        <v>3</v>
      </c>
      <c r="F6" s="2">
        <v>19</v>
      </c>
      <c r="G6" s="2">
        <f t="shared" ref="G6:G23" si="1">SUM(E6*60+F6)</f>
        <v>199</v>
      </c>
      <c r="H6" s="3">
        <f t="shared" si="0"/>
        <v>23.21608040201005</v>
      </c>
      <c r="I6" s="3">
        <v>399</v>
      </c>
      <c r="J6" s="2"/>
      <c r="K6" s="2"/>
      <c r="L6" s="2">
        <v>77</v>
      </c>
    </row>
    <row r="7" spans="1:12" x14ac:dyDescent="0.25">
      <c r="A7" s="4">
        <v>45990</v>
      </c>
      <c r="B7" s="45" t="s">
        <v>107</v>
      </c>
      <c r="C7" s="6">
        <v>5</v>
      </c>
      <c r="D7" s="2">
        <v>67</v>
      </c>
      <c r="E7" s="2">
        <v>3</v>
      </c>
      <c r="F7" s="2">
        <v>6</v>
      </c>
      <c r="G7" s="2">
        <f t="shared" si="1"/>
        <v>186</v>
      </c>
      <c r="H7" s="3">
        <f t="shared" si="0"/>
        <v>21.612903225806452</v>
      </c>
      <c r="I7" s="3">
        <v>413</v>
      </c>
      <c r="J7" s="2"/>
      <c r="K7" s="2"/>
      <c r="L7" s="2">
        <v>67</v>
      </c>
    </row>
    <row r="8" spans="1:12" x14ac:dyDescent="0.25">
      <c r="A8" s="4"/>
      <c r="B8" s="2"/>
      <c r="C8" s="6">
        <v>6</v>
      </c>
      <c r="D8" s="2"/>
      <c r="E8" s="2"/>
      <c r="F8" s="2"/>
      <c r="G8" s="2">
        <f t="shared" si="1"/>
        <v>0</v>
      </c>
      <c r="H8" s="3" t="e">
        <f t="shared" si="0"/>
        <v>#DIV/0!</v>
      </c>
      <c r="I8" s="3"/>
      <c r="J8" s="2"/>
      <c r="K8" s="2"/>
      <c r="L8" s="2"/>
    </row>
    <row r="9" spans="1:12" x14ac:dyDescent="0.25">
      <c r="A9" s="4"/>
      <c r="B9" s="2"/>
      <c r="C9" s="6">
        <v>7</v>
      </c>
      <c r="D9" s="2"/>
      <c r="E9" s="2"/>
      <c r="F9" s="2"/>
      <c r="G9" s="2">
        <f t="shared" si="1"/>
        <v>0</v>
      </c>
      <c r="H9" s="3" t="e">
        <f t="shared" si="0"/>
        <v>#DIV/0!</v>
      </c>
      <c r="I9" s="3"/>
      <c r="J9" s="2"/>
      <c r="K9" s="2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1"/>
        <v>0</v>
      </c>
      <c r="H10" s="3" t="e">
        <f t="shared" si="0"/>
        <v>#DIV/0!</v>
      </c>
      <c r="I10" s="7"/>
      <c r="J10" s="2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1"/>
        <v>0</v>
      </c>
      <c r="H11" s="3" t="e">
        <f t="shared" si="0"/>
        <v>#DIV/0!</v>
      </c>
      <c r="I11" s="3"/>
      <c r="J11" s="2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1"/>
        <v>0</v>
      </c>
      <c r="H12" s="3" t="e">
        <f t="shared" si="0"/>
        <v>#DIV/0!</v>
      </c>
      <c r="I12" s="3"/>
      <c r="J12" s="2"/>
      <c r="K12" s="2"/>
      <c r="L12" s="2"/>
    </row>
    <row r="13" spans="1:12" x14ac:dyDescent="0.25">
      <c r="A13" s="4"/>
      <c r="B13" s="2"/>
      <c r="C13" s="6">
        <v>3</v>
      </c>
      <c r="D13" s="2"/>
      <c r="E13" s="2"/>
      <c r="F13" s="2"/>
      <c r="G13" s="2">
        <f t="shared" si="1"/>
        <v>0</v>
      </c>
      <c r="H13" s="3" t="e">
        <f t="shared" si="0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1"/>
        <v>0</v>
      </c>
      <c r="H14" s="3" t="e">
        <f t="shared" si="0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1"/>
        <v>0</v>
      </c>
      <c r="H15" s="3" t="e">
        <f t="shared" si="0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1"/>
      <c r="F16" s="2"/>
      <c r="G16" s="2">
        <f t="shared" si="1"/>
        <v>0</v>
      </c>
      <c r="H16" s="3" t="e">
        <f t="shared" si="0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1"/>
        <v>0</v>
      </c>
      <c r="H17" s="3" t="e">
        <f t="shared" si="0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1"/>
        <v>0</v>
      </c>
      <c r="H18" s="3" t="e">
        <f t="shared" si="0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1"/>
        <v>0</v>
      </c>
      <c r="H19" s="3" t="e">
        <f t="shared" si="0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1"/>
        <v>0</v>
      </c>
      <c r="H20" s="3" t="e">
        <f t="shared" si="0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1"/>
        <v>0</v>
      </c>
      <c r="H21" s="3" t="e">
        <f t="shared" si="0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1"/>
        <v>0</v>
      </c>
      <c r="H22" s="3" t="e">
        <f t="shared" si="0"/>
        <v>#DIV/0!</v>
      </c>
      <c r="I22" s="3"/>
      <c r="J22" s="2"/>
      <c r="K22" s="2"/>
      <c r="L22" s="2"/>
    </row>
    <row r="23" spans="1:12" x14ac:dyDescent="0.25">
      <c r="A23" s="4"/>
      <c r="B23" s="2"/>
      <c r="C23" s="2">
        <v>21</v>
      </c>
      <c r="D23" s="2"/>
      <c r="E23" s="2"/>
      <c r="F23" s="2"/>
      <c r="G23" s="2">
        <f t="shared" si="1"/>
        <v>0</v>
      </c>
      <c r="H23" s="3" t="e">
        <f t="shared" si="0"/>
        <v>#DIV/0!</v>
      </c>
      <c r="I23" s="3"/>
      <c r="J23" s="2"/>
      <c r="K23" s="2"/>
      <c r="L23" s="2"/>
    </row>
    <row r="24" spans="1:12" x14ac:dyDescent="0.25">
      <c r="D24">
        <f>SUM(D3:D23)</f>
        <v>402</v>
      </c>
      <c r="I24" s="1">
        <f>SUM(I3:I23)</f>
        <v>2253</v>
      </c>
      <c r="K24" s="1">
        <f>SUM(K1:K23)</f>
        <v>0</v>
      </c>
      <c r="L24" s="1">
        <f>SUM(L1:L23)</f>
        <v>402</v>
      </c>
    </row>
    <row r="25" spans="1:12" x14ac:dyDescent="0.25">
      <c r="A25" t="s">
        <v>26</v>
      </c>
      <c r="B25">
        <f>SUM(Oct!B25+Nov!D24)</f>
        <v>6685</v>
      </c>
      <c r="H25" s="1">
        <f>SUM(Oct!H25+Nov!I24)</f>
        <v>16491</v>
      </c>
      <c r="K25" s="1">
        <f>SUM(Oct!K25+Nov!K24)</f>
        <v>289</v>
      </c>
      <c r="L25" s="1">
        <f>SUM(Oct!L25+Nov!L24)</f>
        <v>6396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0"/>
  <sheetViews>
    <sheetView tabSelected="1" topLeftCell="B1" workbookViewId="0">
      <selection activeCell="L10" sqref="L10"/>
    </sheetView>
  </sheetViews>
  <sheetFormatPr baseColWidth="10" defaultRowHeight="15" x14ac:dyDescent="0.25"/>
  <cols>
    <col min="1" max="1" width="12.5703125" customWidth="1"/>
    <col min="2" max="2" width="36.85546875" customWidth="1"/>
    <col min="3" max="3" width="3.7109375" customWidth="1"/>
    <col min="4" max="4" width="11.140625" customWidth="1"/>
    <col min="5" max="7" width="4.7109375" customWidth="1"/>
    <col min="8" max="8" width="10.140625" style="1" customWidth="1"/>
    <col min="9" max="9" width="8.5703125" style="1" customWidth="1"/>
    <col min="10" max="10" width="18.5703125" customWidth="1"/>
    <col min="11" max="11" width="8.42578125" customWidth="1"/>
    <col min="12" max="12" width="7.7109375" customWidth="1"/>
  </cols>
  <sheetData>
    <row r="1" spans="1:12" ht="27" thickBot="1" x14ac:dyDescent="0.45">
      <c r="A1" s="55" t="s">
        <v>18</v>
      </c>
      <c r="B1" s="55"/>
      <c r="C1" s="55"/>
      <c r="D1" s="55"/>
      <c r="E1" s="55"/>
      <c r="F1" s="55"/>
      <c r="G1" s="55"/>
      <c r="H1" s="13">
        <f>SUM(Janv!H1)</f>
        <v>2025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4" t="s">
        <v>3</v>
      </c>
      <c r="F2" s="54"/>
      <c r="G2" s="54"/>
      <c r="H2" s="10" t="s">
        <v>4</v>
      </c>
      <c r="I2" s="16" t="s">
        <v>19</v>
      </c>
      <c r="J2" s="11" t="s">
        <v>5</v>
      </c>
      <c r="K2" s="33" t="s">
        <v>20</v>
      </c>
      <c r="L2" s="34" t="s">
        <v>21</v>
      </c>
    </row>
    <row r="3" spans="1:12" x14ac:dyDescent="0.25">
      <c r="A3" s="5">
        <v>45993</v>
      </c>
      <c r="B3" s="45" t="s">
        <v>108</v>
      </c>
      <c r="C3" s="6">
        <v>1</v>
      </c>
      <c r="D3" s="6">
        <v>65</v>
      </c>
      <c r="E3" s="6">
        <v>2</v>
      </c>
      <c r="F3" s="6">
        <v>52</v>
      </c>
      <c r="G3" s="6">
        <f>SUM(E3*60+F3)</f>
        <v>172</v>
      </c>
      <c r="H3" s="7">
        <f>SUM(D3/G3*60)</f>
        <v>22.674418604651162</v>
      </c>
      <c r="I3" s="7">
        <v>298</v>
      </c>
      <c r="J3" s="6"/>
      <c r="K3" s="6"/>
      <c r="L3" s="6">
        <v>65</v>
      </c>
    </row>
    <row r="4" spans="1:12" x14ac:dyDescent="0.25">
      <c r="A4" s="4">
        <v>46000</v>
      </c>
      <c r="B4" s="45" t="s">
        <v>109</v>
      </c>
      <c r="C4" s="6">
        <v>2</v>
      </c>
      <c r="D4" s="2">
        <v>80</v>
      </c>
      <c r="E4" s="2">
        <v>3</v>
      </c>
      <c r="F4" s="2">
        <v>25</v>
      </c>
      <c r="G4" s="2">
        <f t="shared" ref="G4:G23" si="0">SUM(E4*60+F4)</f>
        <v>205</v>
      </c>
      <c r="H4" s="3">
        <f t="shared" ref="H4:H23" si="1">SUM(D4/G4*60)</f>
        <v>23.414634146341463</v>
      </c>
      <c r="I4" s="7">
        <v>483</v>
      </c>
      <c r="J4" s="6"/>
      <c r="K4" s="2"/>
      <c r="L4" s="2">
        <v>80</v>
      </c>
    </row>
    <row r="5" spans="1:12" x14ac:dyDescent="0.25">
      <c r="A5" s="4">
        <v>46002</v>
      </c>
      <c r="B5" s="45" t="s">
        <v>110</v>
      </c>
      <c r="C5" s="6">
        <v>3</v>
      </c>
      <c r="D5" s="2">
        <v>82</v>
      </c>
      <c r="E5" s="2">
        <v>3</v>
      </c>
      <c r="F5" s="2">
        <v>25</v>
      </c>
      <c r="G5" s="2">
        <f t="shared" si="0"/>
        <v>205</v>
      </c>
      <c r="H5" s="3">
        <f t="shared" si="1"/>
        <v>24</v>
      </c>
      <c r="I5" s="3">
        <v>494</v>
      </c>
      <c r="J5" s="2"/>
      <c r="K5" s="2"/>
      <c r="L5" s="2">
        <v>82</v>
      </c>
    </row>
    <row r="6" spans="1:12" s="28" customFormat="1" x14ac:dyDescent="0.25">
      <c r="A6" s="23">
        <v>46004</v>
      </c>
      <c r="B6" s="46" t="s">
        <v>111</v>
      </c>
      <c r="C6" s="25">
        <v>4</v>
      </c>
      <c r="D6" s="24">
        <v>65</v>
      </c>
      <c r="E6" s="24">
        <v>2</v>
      </c>
      <c r="F6" s="24">
        <v>47</v>
      </c>
      <c r="G6" s="24">
        <f t="shared" si="0"/>
        <v>167</v>
      </c>
      <c r="H6" s="26">
        <f t="shared" si="1"/>
        <v>23.353293413173652</v>
      </c>
      <c r="I6" s="26">
        <v>234</v>
      </c>
      <c r="J6" s="24"/>
      <c r="K6" s="2"/>
      <c r="L6" s="2">
        <v>65</v>
      </c>
    </row>
    <row r="7" spans="1:12" s="28" customFormat="1" x14ac:dyDescent="0.25">
      <c r="A7" s="23">
        <v>46007</v>
      </c>
      <c r="B7" s="46" t="s">
        <v>112</v>
      </c>
      <c r="C7" s="25">
        <v>5</v>
      </c>
      <c r="D7" s="24">
        <v>70</v>
      </c>
      <c r="E7" s="24">
        <v>2</v>
      </c>
      <c r="F7" s="24">
        <v>53</v>
      </c>
      <c r="G7" s="24">
        <f t="shared" si="0"/>
        <v>173</v>
      </c>
      <c r="H7" s="26">
        <f t="shared" si="1"/>
        <v>24.277456647398846</v>
      </c>
      <c r="I7" s="26">
        <v>339</v>
      </c>
      <c r="J7" s="24"/>
      <c r="K7" s="2"/>
      <c r="L7" s="2">
        <v>70</v>
      </c>
    </row>
    <row r="8" spans="1:12" s="28" customFormat="1" x14ac:dyDescent="0.25">
      <c r="A8" s="23">
        <v>46009</v>
      </c>
      <c r="B8" s="46" t="s">
        <v>113</v>
      </c>
      <c r="C8" s="25">
        <v>6</v>
      </c>
      <c r="D8" s="24">
        <v>78</v>
      </c>
      <c r="E8" s="24">
        <v>3</v>
      </c>
      <c r="F8" s="24">
        <v>24</v>
      </c>
      <c r="G8" s="24">
        <f t="shared" si="0"/>
        <v>204</v>
      </c>
      <c r="H8" s="26">
        <f t="shared" si="1"/>
        <v>22.941176470588232</v>
      </c>
      <c r="I8" s="26">
        <v>381</v>
      </c>
      <c r="J8" s="24"/>
      <c r="K8" s="2"/>
      <c r="L8" s="2">
        <v>78</v>
      </c>
    </row>
    <row r="9" spans="1:12" s="28" customFormat="1" x14ac:dyDescent="0.25">
      <c r="A9" s="23">
        <v>46011</v>
      </c>
      <c r="B9" s="45" t="s">
        <v>114</v>
      </c>
      <c r="C9" s="25">
        <v>7</v>
      </c>
      <c r="D9" s="24">
        <v>67</v>
      </c>
      <c r="E9" s="24">
        <v>2</v>
      </c>
      <c r="F9" s="24">
        <v>50</v>
      </c>
      <c r="G9" s="24">
        <f t="shared" si="0"/>
        <v>170</v>
      </c>
      <c r="H9" s="26">
        <f t="shared" si="1"/>
        <v>23.647058823529409</v>
      </c>
      <c r="I9" s="26">
        <v>328</v>
      </c>
      <c r="J9" s="24"/>
      <c r="K9" s="2"/>
      <c r="L9" s="2">
        <v>67</v>
      </c>
    </row>
    <row r="10" spans="1:12" s="28" customFormat="1" x14ac:dyDescent="0.25">
      <c r="A10" s="23"/>
      <c r="B10" s="24"/>
      <c r="C10" s="25">
        <v>8</v>
      </c>
      <c r="D10" s="24"/>
      <c r="E10" s="24"/>
      <c r="F10" s="24"/>
      <c r="G10" s="24">
        <f t="shared" si="0"/>
        <v>0</v>
      </c>
      <c r="H10" s="26" t="e">
        <f t="shared" si="1"/>
        <v>#DIV/0!</v>
      </c>
      <c r="I10" s="27"/>
      <c r="J10" s="25"/>
      <c r="K10" s="2"/>
      <c r="L10" s="2"/>
    </row>
    <row r="11" spans="1:12" s="28" customFormat="1" x14ac:dyDescent="0.25">
      <c r="A11" s="23"/>
      <c r="B11" s="24"/>
      <c r="C11" s="25">
        <v>9</v>
      </c>
      <c r="D11" s="24"/>
      <c r="E11" s="24"/>
      <c r="F11" s="24"/>
      <c r="G11" s="24">
        <f t="shared" si="0"/>
        <v>0</v>
      </c>
      <c r="H11" s="26" t="e">
        <f t="shared" si="1"/>
        <v>#DIV/0!</v>
      </c>
      <c r="I11" s="26"/>
      <c r="J11" s="24"/>
      <c r="K11" s="2"/>
      <c r="L11" s="2"/>
    </row>
    <row r="12" spans="1:12" s="28" customFormat="1" x14ac:dyDescent="0.25">
      <c r="A12" s="23"/>
      <c r="B12" s="24"/>
      <c r="C12" s="25">
        <v>10</v>
      </c>
      <c r="D12" s="24"/>
      <c r="E12" s="24"/>
      <c r="F12" s="24"/>
      <c r="G12" s="24">
        <f t="shared" si="0"/>
        <v>0</v>
      </c>
      <c r="H12" s="26" t="e">
        <f t="shared" si="1"/>
        <v>#DIV/0!</v>
      </c>
      <c r="I12" s="26"/>
      <c r="J12" s="24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507</v>
      </c>
      <c r="I24" s="1">
        <f>SUM(I3:I23)</f>
        <v>2557</v>
      </c>
      <c r="K24" s="1">
        <f>SUM(K1:K23)</f>
        <v>0</v>
      </c>
      <c r="L24" s="1">
        <f>SUM(L1:L23)</f>
        <v>507</v>
      </c>
    </row>
    <row r="25" spans="1:12" x14ac:dyDescent="0.25">
      <c r="A25" t="s">
        <v>26</v>
      </c>
      <c r="B25">
        <f>SUM(Nov!B25+Déc!D24)</f>
        <v>7192</v>
      </c>
      <c r="H25" s="1">
        <f>SUM(Nov!H25+Déc!I24)</f>
        <v>19048</v>
      </c>
      <c r="K25" s="1">
        <f>SUM(Nov!K25+Déc!K24)</f>
        <v>289</v>
      </c>
      <c r="L25" s="1">
        <f>SUM(Nov!L25+Déc!L24)</f>
        <v>6903</v>
      </c>
    </row>
    <row r="26" spans="1:12" x14ac:dyDescent="0.25">
      <c r="J26" t="s">
        <v>22</v>
      </c>
      <c r="K26">
        <v>1843</v>
      </c>
      <c r="L26">
        <v>9688</v>
      </c>
    </row>
    <row r="27" spans="1:12" x14ac:dyDescent="0.25">
      <c r="J27" t="s">
        <v>24</v>
      </c>
      <c r="K27">
        <f ca="1">SUM(Janv!K27)</f>
        <v>2920</v>
      </c>
      <c r="L27">
        <f ca="1">SUM(Janv!L27)</f>
        <v>6043</v>
      </c>
    </row>
    <row r="28" spans="1:12" x14ac:dyDescent="0.25">
      <c r="J28" t="s">
        <v>25</v>
      </c>
      <c r="K28">
        <v>7538</v>
      </c>
      <c r="L28">
        <v>3488</v>
      </c>
    </row>
    <row r="29" spans="1:12" x14ac:dyDescent="0.25">
      <c r="J29" t="s">
        <v>27</v>
      </c>
      <c r="K29">
        <v>624</v>
      </c>
      <c r="L29">
        <v>4941</v>
      </c>
    </row>
    <row r="30" spans="1:12" x14ac:dyDescent="0.25">
      <c r="J30" t="s">
        <v>23</v>
      </c>
      <c r="K30" s="1">
        <f ca="1">SUM(K26:K29)</f>
        <v>12925</v>
      </c>
      <c r="L30" s="1">
        <f ca="1">SUM(L26:L29)</f>
        <v>24160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C134-A039-432A-9DB8-25AF20D220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FF1-153C-458B-88C2-C4372E7108B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patrice.gouadon@outlook.fr</cp:lastModifiedBy>
  <dcterms:created xsi:type="dcterms:W3CDTF">2015-01-07T20:15:24Z</dcterms:created>
  <dcterms:modified xsi:type="dcterms:W3CDTF">2025-12-28T15:37:24Z</dcterms:modified>
</cp:coreProperties>
</file>