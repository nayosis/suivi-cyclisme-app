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\Documents\Diablo III\Cyclo\suiviPerf\"/>
    </mc:Choice>
  </mc:AlternateContent>
  <xr:revisionPtr revIDLastSave="0" documentId="13_ncr:1_{ED2586D5-12C1-4B8C-85E6-A24665F3AAD1}" xr6:coauthVersionLast="47" xr6:coauthVersionMax="47" xr10:uidLastSave="{00000000-0000-0000-0000-000000000000}"/>
  <bookViews>
    <workbookView xWindow="-120" yWindow="-120" windowWidth="29040" windowHeight="15720" activeTab="11" xr2:uid="{00000000-000D-0000-FFFF-FFFF00000000}"/>
  </bookViews>
  <sheets>
    <sheet name="Janv" sheetId="1" r:id="rId1"/>
    <sheet name="Fév" sheetId="2" r:id="rId2"/>
    <sheet name="Mar" sheetId="3" r:id="rId3"/>
    <sheet name="Avr" sheetId="4" r:id="rId4"/>
    <sheet name="Mai" sheetId="5" r:id="rId5"/>
    <sheet name="Juin" sheetId="6" r:id="rId6"/>
    <sheet name="Juil" sheetId="7" r:id="rId7"/>
    <sheet name="Aout" sheetId="8" r:id="rId8"/>
    <sheet name="Sept" sheetId="9" r:id="rId9"/>
    <sheet name="Oct" sheetId="10" r:id="rId10"/>
    <sheet name="Nov" sheetId="11" r:id="rId11"/>
    <sheet name="Déc" sheetId="12" r:id="rId12"/>
    <sheet name="Feuil1" sheetId="13" r:id="rId13"/>
    <sheet name="Feuil2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6" l="1"/>
  <c r="L33" i="12"/>
  <c r="K33" i="12"/>
  <c r="L33" i="11"/>
  <c r="K33" i="11"/>
  <c r="L33" i="10"/>
  <c r="K33" i="10"/>
  <c r="L33" i="9"/>
  <c r="K33" i="9"/>
  <c r="L33" i="8"/>
  <c r="K33" i="8"/>
  <c r="L33" i="7"/>
  <c r="K33" i="7"/>
  <c r="L33" i="6"/>
  <c r="K33" i="6"/>
  <c r="L33" i="5"/>
  <c r="K33" i="5"/>
  <c r="L33" i="4"/>
  <c r="K33" i="4"/>
  <c r="L33" i="3"/>
  <c r="K33" i="3"/>
  <c r="L30" i="2"/>
  <c r="K30" i="2"/>
  <c r="G21" i="3"/>
  <c r="H21" i="3" s="1"/>
  <c r="G22" i="3"/>
  <c r="H22" i="3" s="1"/>
  <c r="G23" i="3"/>
  <c r="H23" i="3" s="1"/>
  <c r="G21" i="4"/>
  <c r="H21" i="4" s="1"/>
  <c r="G22" i="4"/>
  <c r="H22" i="4" s="1"/>
  <c r="G23" i="4"/>
  <c r="H23" i="4" s="1"/>
  <c r="G21" i="5"/>
  <c r="H21" i="5" s="1"/>
  <c r="G22" i="5"/>
  <c r="H22" i="5" s="1"/>
  <c r="G23" i="5"/>
  <c r="H23" i="5" s="1"/>
  <c r="G21" i="6"/>
  <c r="H21" i="6" s="1"/>
  <c r="G22" i="6"/>
  <c r="H22" i="6" s="1"/>
  <c r="G23" i="6"/>
  <c r="H23" i="6" s="1"/>
  <c r="K30" i="1"/>
  <c r="G19" i="1"/>
  <c r="H19" i="1" s="1"/>
  <c r="G20" i="1"/>
  <c r="H20" i="1" s="1"/>
  <c r="H14" i="7" l="1"/>
  <c r="H15" i="7"/>
  <c r="H16" i="7"/>
  <c r="H17" i="7"/>
  <c r="H18" i="7"/>
  <c r="H19" i="7"/>
  <c r="H20" i="7"/>
  <c r="H21" i="7"/>
  <c r="H22" i="7"/>
  <c r="H23" i="7"/>
  <c r="H14" i="6"/>
  <c r="G7" i="7"/>
  <c r="H7" i="7" s="1"/>
  <c r="D24" i="8"/>
  <c r="G3" i="1"/>
  <c r="G23" i="7" l="1"/>
  <c r="G22" i="7"/>
  <c r="G21" i="7"/>
  <c r="G20" i="7"/>
  <c r="G19" i="7"/>
  <c r="G18" i="7"/>
  <c r="G17" i="7"/>
  <c r="G16" i="7"/>
  <c r="G15" i="7"/>
  <c r="G14" i="7"/>
  <c r="G13" i="7"/>
  <c r="H13" i="7" s="1"/>
  <c r="G12" i="7"/>
  <c r="H12" i="7" s="1"/>
  <c r="G11" i="7"/>
  <c r="H11" i="7" s="1"/>
  <c r="G10" i="7"/>
  <c r="H10" i="7" s="1"/>
  <c r="G9" i="7"/>
  <c r="H9" i="7" s="1"/>
  <c r="G8" i="7"/>
  <c r="H8" i="7" s="1"/>
  <c r="G6" i="7"/>
  <c r="H6" i="7" s="1"/>
  <c r="G5" i="7"/>
  <c r="H5" i="7" s="1"/>
  <c r="G4" i="7"/>
  <c r="H4" i="7" s="1"/>
  <c r="G3" i="7"/>
  <c r="H3" i="7" s="1"/>
  <c r="D24" i="7"/>
  <c r="I24" i="7"/>
  <c r="K24" i="7"/>
  <c r="L24" i="7"/>
  <c r="L24" i="12" l="1"/>
  <c r="K24" i="12"/>
  <c r="L24" i="11"/>
  <c r="K24" i="11"/>
  <c r="L24" i="10"/>
  <c r="K24" i="10"/>
  <c r="L24" i="9"/>
  <c r="K24" i="9"/>
  <c r="L24" i="8"/>
  <c r="K24" i="8"/>
  <c r="G9" i="6"/>
  <c r="H9" i="6" s="1"/>
  <c r="L24" i="6"/>
  <c r="K24" i="6"/>
  <c r="L24" i="5"/>
  <c r="K24" i="5"/>
  <c r="L24" i="4"/>
  <c r="K24" i="4"/>
  <c r="L24" i="3"/>
  <c r="K24" i="3"/>
  <c r="L21" i="2"/>
  <c r="K21" i="2"/>
  <c r="L21" i="1"/>
  <c r="L22" i="1" s="1"/>
  <c r="K21" i="1"/>
  <c r="K22" i="1" s="1"/>
  <c r="L22" i="2" l="1"/>
  <c r="L25" i="3" s="1"/>
  <c r="L25" i="4" s="1"/>
  <c r="L25" i="5" s="1"/>
  <c r="L25" i="6" s="1"/>
  <c r="K22" i="2"/>
  <c r="K25" i="3" s="1"/>
  <c r="K25" i="4" s="1"/>
  <c r="K25" i="5" s="1"/>
  <c r="K25" i="6" s="1"/>
  <c r="G3" i="10"/>
  <c r="G12" i="8" l="1"/>
  <c r="H12" i="8" s="1"/>
  <c r="G7" i="8"/>
  <c r="H7" i="8" s="1"/>
  <c r="I24" i="11"/>
  <c r="I24" i="10"/>
  <c r="I24" i="9"/>
  <c r="I24" i="8"/>
  <c r="I24" i="6"/>
  <c r="I24" i="5"/>
  <c r="I24" i="4"/>
  <c r="I24" i="3"/>
  <c r="I21" i="2"/>
  <c r="I21" i="1"/>
  <c r="H22" i="1" s="1"/>
  <c r="I24" i="12"/>
  <c r="H1" i="12"/>
  <c r="H1" i="11"/>
  <c r="H1" i="10"/>
  <c r="H1" i="9"/>
  <c r="H1" i="8"/>
  <c r="H1" i="7"/>
  <c r="H1" i="6"/>
  <c r="H1" i="4"/>
  <c r="H1" i="5"/>
  <c r="H1" i="3"/>
  <c r="H1" i="2"/>
  <c r="G3" i="5"/>
  <c r="H3" i="5" s="1"/>
  <c r="G4" i="5"/>
  <c r="H4" i="5" s="1"/>
  <c r="G5" i="5"/>
  <c r="H5" i="5" s="1"/>
  <c r="G6" i="5"/>
  <c r="H6" i="5" s="1"/>
  <c r="G7" i="5"/>
  <c r="H7" i="5" s="1"/>
  <c r="G8" i="5"/>
  <c r="H8" i="5" s="1"/>
  <c r="G9" i="5"/>
  <c r="H9" i="5" s="1"/>
  <c r="G10" i="5"/>
  <c r="H10" i="5" s="1"/>
  <c r="G11" i="5"/>
  <c r="H11" i="5" s="1"/>
  <c r="G12" i="5"/>
  <c r="H12" i="5" s="1"/>
  <c r="G13" i="5"/>
  <c r="H13" i="5" s="1"/>
  <c r="G14" i="5"/>
  <c r="H14" i="5" s="1"/>
  <c r="G15" i="5"/>
  <c r="H15" i="5" s="1"/>
  <c r="G16" i="5"/>
  <c r="H16" i="5" s="1"/>
  <c r="G17" i="5"/>
  <c r="H17" i="5" s="1"/>
  <c r="G18" i="5"/>
  <c r="H18" i="5" s="1"/>
  <c r="G19" i="5"/>
  <c r="H19" i="5" s="1"/>
  <c r="G20" i="5"/>
  <c r="H20" i="5" s="1"/>
  <c r="G3" i="12"/>
  <c r="H3" i="12" s="1"/>
  <c r="G4" i="12"/>
  <c r="H4" i="12" s="1"/>
  <c r="G5" i="12"/>
  <c r="H5" i="12" s="1"/>
  <c r="G6" i="12"/>
  <c r="H6" i="12" s="1"/>
  <c r="G7" i="12"/>
  <c r="H7" i="12" s="1"/>
  <c r="G8" i="12"/>
  <c r="H8" i="12" s="1"/>
  <c r="G9" i="12"/>
  <c r="H9" i="12" s="1"/>
  <c r="G10" i="12"/>
  <c r="H10" i="12" s="1"/>
  <c r="G11" i="12"/>
  <c r="H11" i="12" s="1"/>
  <c r="G12" i="12"/>
  <c r="H12" i="12" s="1"/>
  <c r="G13" i="12"/>
  <c r="H13" i="12" s="1"/>
  <c r="G14" i="12"/>
  <c r="H14" i="12" s="1"/>
  <c r="G16" i="11"/>
  <c r="H16" i="11" s="1"/>
  <c r="G22" i="8"/>
  <c r="G21" i="8"/>
  <c r="H21" i="8" s="1"/>
  <c r="G20" i="8"/>
  <c r="G19" i="8"/>
  <c r="H19" i="8" s="1"/>
  <c r="G18" i="8"/>
  <c r="H18" i="8" s="1"/>
  <c r="G17" i="8"/>
  <c r="H17" i="8" s="1"/>
  <c r="G16" i="8"/>
  <c r="H16" i="8" s="1"/>
  <c r="G15" i="8"/>
  <c r="H15" i="8" s="1"/>
  <c r="G14" i="8"/>
  <c r="H14" i="8" s="1"/>
  <c r="G13" i="8"/>
  <c r="H13" i="8" s="1"/>
  <c r="G11" i="8"/>
  <c r="H11" i="8" s="1"/>
  <c r="G10" i="8"/>
  <c r="H10" i="8" s="1"/>
  <c r="G9" i="8"/>
  <c r="H9" i="8" s="1"/>
  <c r="G8" i="8"/>
  <c r="H8" i="8" s="1"/>
  <c r="G6" i="8"/>
  <c r="H6" i="8" s="1"/>
  <c r="G5" i="8"/>
  <c r="H5" i="8" s="1"/>
  <c r="G4" i="8"/>
  <c r="H4" i="8" s="1"/>
  <c r="G3" i="8"/>
  <c r="H3" i="8" s="1"/>
  <c r="G20" i="6"/>
  <c r="H20" i="6" s="1"/>
  <c r="G19" i="6"/>
  <c r="H19" i="6" s="1"/>
  <c r="G18" i="6"/>
  <c r="H18" i="6" s="1"/>
  <c r="G17" i="6"/>
  <c r="H17" i="6" s="1"/>
  <c r="G16" i="6"/>
  <c r="H16" i="6" s="1"/>
  <c r="G15" i="6"/>
  <c r="H15" i="6" s="1"/>
  <c r="G13" i="6"/>
  <c r="H13" i="6" s="1"/>
  <c r="G12" i="6"/>
  <c r="H12" i="6" s="1"/>
  <c r="G11" i="6"/>
  <c r="H11" i="6" s="1"/>
  <c r="G10" i="6"/>
  <c r="H10" i="6" s="1"/>
  <c r="G8" i="6"/>
  <c r="H8" i="6" s="1"/>
  <c r="G7" i="6"/>
  <c r="H7" i="6" s="1"/>
  <c r="G6" i="6"/>
  <c r="H6" i="6" s="1"/>
  <c r="G5" i="6"/>
  <c r="H5" i="6" s="1"/>
  <c r="G4" i="6"/>
  <c r="H4" i="6" s="1"/>
  <c r="G3" i="6"/>
  <c r="H3" i="6" s="1"/>
  <c r="G13" i="4"/>
  <c r="H13" i="4" s="1"/>
  <c r="H3" i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2" i="11"/>
  <c r="H12" i="11" s="1"/>
  <c r="G9" i="9"/>
  <c r="H9" i="9" s="1"/>
  <c r="G7" i="9"/>
  <c r="H7" i="9" s="1"/>
  <c r="G6" i="9"/>
  <c r="H6" i="9" s="1"/>
  <c r="G8" i="4"/>
  <c r="H8" i="4" s="1"/>
  <c r="D24" i="12"/>
  <c r="G23" i="12"/>
  <c r="H23" i="12" s="1"/>
  <c r="G22" i="12"/>
  <c r="H22" i="12" s="1"/>
  <c r="G21" i="12"/>
  <c r="H21" i="12" s="1"/>
  <c r="G20" i="12"/>
  <c r="H20" i="12" s="1"/>
  <c r="G19" i="12"/>
  <c r="H19" i="12" s="1"/>
  <c r="G18" i="12"/>
  <c r="H18" i="12" s="1"/>
  <c r="G17" i="12"/>
  <c r="H17" i="12" s="1"/>
  <c r="G16" i="12"/>
  <c r="H16" i="12" s="1"/>
  <c r="G15" i="12"/>
  <c r="H15" i="12" s="1"/>
  <c r="D24" i="11"/>
  <c r="G23" i="11"/>
  <c r="H23" i="11" s="1"/>
  <c r="G22" i="11"/>
  <c r="H22" i="11" s="1"/>
  <c r="G21" i="11"/>
  <c r="H21" i="11" s="1"/>
  <c r="G20" i="11"/>
  <c r="H20" i="11" s="1"/>
  <c r="G19" i="11"/>
  <c r="H19" i="11" s="1"/>
  <c r="G18" i="11"/>
  <c r="H18" i="11" s="1"/>
  <c r="G17" i="11"/>
  <c r="H17" i="11" s="1"/>
  <c r="G15" i="11"/>
  <c r="H15" i="11" s="1"/>
  <c r="G14" i="11"/>
  <c r="H14" i="11" s="1"/>
  <c r="G13" i="11"/>
  <c r="H13" i="11" s="1"/>
  <c r="G11" i="11"/>
  <c r="H11" i="11" s="1"/>
  <c r="G10" i="11"/>
  <c r="H10" i="11" s="1"/>
  <c r="G9" i="11"/>
  <c r="H9" i="11" s="1"/>
  <c r="G8" i="11"/>
  <c r="H8" i="11" s="1"/>
  <c r="G7" i="11"/>
  <c r="H7" i="11" s="1"/>
  <c r="G6" i="11"/>
  <c r="H6" i="11" s="1"/>
  <c r="G5" i="11"/>
  <c r="H5" i="11" s="1"/>
  <c r="G4" i="11"/>
  <c r="H4" i="11" s="1"/>
  <c r="G3" i="11"/>
  <c r="H3" i="11" s="1"/>
  <c r="D24" i="10"/>
  <c r="G23" i="10"/>
  <c r="H23" i="10" s="1"/>
  <c r="G22" i="10"/>
  <c r="H22" i="10" s="1"/>
  <c r="G21" i="10"/>
  <c r="H21" i="10" s="1"/>
  <c r="G20" i="10"/>
  <c r="H20" i="10" s="1"/>
  <c r="G19" i="10"/>
  <c r="H19" i="10" s="1"/>
  <c r="G18" i="10"/>
  <c r="H18" i="10" s="1"/>
  <c r="G17" i="10"/>
  <c r="H17" i="10" s="1"/>
  <c r="G16" i="10"/>
  <c r="H16" i="10" s="1"/>
  <c r="G15" i="10"/>
  <c r="H15" i="10" s="1"/>
  <c r="G14" i="10"/>
  <c r="H14" i="10" s="1"/>
  <c r="G13" i="10"/>
  <c r="H13" i="10" s="1"/>
  <c r="G12" i="10"/>
  <c r="H12" i="10" s="1"/>
  <c r="G11" i="10"/>
  <c r="H11" i="10" s="1"/>
  <c r="G10" i="10"/>
  <c r="H10" i="10" s="1"/>
  <c r="G9" i="10"/>
  <c r="H9" i="10" s="1"/>
  <c r="G8" i="10"/>
  <c r="H8" i="10" s="1"/>
  <c r="G7" i="10"/>
  <c r="H7" i="10" s="1"/>
  <c r="G6" i="10"/>
  <c r="H6" i="10" s="1"/>
  <c r="G5" i="10"/>
  <c r="H5" i="10" s="1"/>
  <c r="G4" i="10"/>
  <c r="H4" i="10" s="1"/>
  <c r="H3" i="10"/>
  <c r="D24" i="9"/>
  <c r="G23" i="9"/>
  <c r="H23" i="9" s="1"/>
  <c r="G22" i="9"/>
  <c r="H22" i="9" s="1"/>
  <c r="G21" i="9"/>
  <c r="H21" i="9" s="1"/>
  <c r="G20" i="9"/>
  <c r="H20" i="9" s="1"/>
  <c r="G19" i="9"/>
  <c r="H19" i="9" s="1"/>
  <c r="G18" i="9"/>
  <c r="H18" i="9" s="1"/>
  <c r="G17" i="9"/>
  <c r="H17" i="9" s="1"/>
  <c r="G16" i="9"/>
  <c r="H16" i="9" s="1"/>
  <c r="G15" i="9"/>
  <c r="H15" i="9" s="1"/>
  <c r="G14" i="9"/>
  <c r="H14" i="9" s="1"/>
  <c r="G13" i="9"/>
  <c r="H13" i="9" s="1"/>
  <c r="G12" i="9"/>
  <c r="H12" i="9" s="1"/>
  <c r="G11" i="9"/>
  <c r="H11" i="9" s="1"/>
  <c r="G10" i="9"/>
  <c r="H10" i="9" s="1"/>
  <c r="G8" i="9"/>
  <c r="H8" i="9" s="1"/>
  <c r="G5" i="9"/>
  <c r="H5" i="9" s="1"/>
  <c r="G4" i="9"/>
  <c r="H4" i="9" s="1"/>
  <c r="G3" i="9"/>
  <c r="H3" i="9" s="1"/>
  <c r="G23" i="8"/>
  <c r="H23" i="8" s="1"/>
  <c r="H22" i="8"/>
  <c r="H20" i="8"/>
  <c r="D24" i="6"/>
  <c r="D24" i="5"/>
  <c r="D24" i="4"/>
  <c r="G20" i="4"/>
  <c r="H20" i="4" s="1"/>
  <c r="G19" i="4"/>
  <c r="H19" i="4" s="1"/>
  <c r="G18" i="4"/>
  <c r="H18" i="4" s="1"/>
  <c r="G17" i="4"/>
  <c r="H17" i="4" s="1"/>
  <c r="G16" i="4"/>
  <c r="H16" i="4" s="1"/>
  <c r="G15" i="4"/>
  <c r="H15" i="4" s="1"/>
  <c r="G14" i="4"/>
  <c r="H14" i="4" s="1"/>
  <c r="G12" i="4"/>
  <c r="H12" i="4" s="1"/>
  <c r="G11" i="4"/>
  <c r="H11" i="4" s="1"/>
  <c r="G10" i="4"/>
  <c r="H10" i="4" s="1"/>
  <c r="G9" i="4"/>
  <c r="H9" i="4" s="1"/>
  <c r="G7" i="4"/>
  <c r="H7" i="4" s="1"/>
  <c r="G6" i="4"/>
  <c r="H6" i="4" s="1"/>
  <c r="G5" i="4"/>
  <c r="H5" i="4" s="1"/>
  <c r="G4" i="4"/>
  <c r="H4" i="4" s="1"/>
  <c r="G3" i="4"/>
  <c r="H3" i="4" s="1"/>
  <c r="D24" i="3"/>
  <c r="G20" i="3"/>
  <c r="H20" i="3" s="1"/>
  <c r="G19" i="3"/>
  <c r="H19" i="3" s="1"/>
  <c r="G18" i="3"/>
  <c r="H18" i="3" s="1"/>
  <c r="G17" i="3"/>
  <c r="H17" i="3" s="1"/>
  <c r="G16" i="3"/>
  <c r="H16" i="3" s="1"/>
  <c r="G15" i="3"/>
  <c r="H15" i="3" s="1"/>
  <c r="G14" i="3"/>
  <c r="H14" i="3" s="1"/>
  <c r="G13" i="3"/>
  <c r="H13" i="3" s="1"/>
  <c r="G12" i="3"/>
  <c r="H12" i="3" s="1"/>
  <c r="G11" i="3"/>
  <c r="H11" i="3" s="1"/>
  <c r="G10" i="3"/>
  <c r="H10" i="3" s="1"/>
  <c r="G9" i="3"/>
  <c r="H9" i="3" s="1"/>
  <c r="G8" i="3"/>
  <c r="H8" i="3" s="1"/>
  <c r="G7" i="3"/>
  <c r="H7" i="3" s="1"/>
  <c r="G6" i="3"/>
  <c r="H6" i="3" s="1"/>
  <c r="G5" i="3"/>
  <c r="H5" i="3" s="1"/>
  <c r="G4" i="3"/>
  <c r="H4" i="3" s="1"/>
  <c r="G3" i="3"/>
  <c r="H3" i="3" s="1"/>
  <c r="D21" i="2"/>
  <c r="G20" i="2"/>
  <c r="H20" i="2" s="1"/>
  <c r="G19" i="2"/>
  <c r="H19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G11" i="2"/>
  <c r="H11" i="2" s="1"/>
  <c r="G10" i="2"/>
  <c r="H10" i="2" s="1"/>
  <c r="G9" i="2"/>
  <c r="H9" i="2" s="1"/>
  <c r="G8" i="2"/>
  <c r="H8" i="2" s="1"/>
  <c r="G7" i="2"/>
  <c r="H7" i="2" s="1"/>
  <c r="G6" i="2"/>
  <c r="H6" i="2" s="1"/>
  <c r="G5" i="2"/>
  <c r="H5" i="2" s="1"/>
  <c r="G4" i="2"/>
  <c r="H4" i="2" s="1"/>
  <c r="G3" i="2"/>
  <c r="H3" i="2" s="1"/>
  <c r="D21" i="1"/>
  <c r="B2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H25" i="5" l="1"/>
  <c r="H25" i="4"/>
  <c r="H25" i="3"/>
  <c r="H25" i="6"/>
  <c r="H22" i="2"/>
  <c r="B22" i="2"/>
  <c r="B25" i="3" s="1"/>
  <c r="B25" i="4" s="1"/>
  <c r="B25" i="5" s="1"/>
  <c r="B25" i="6" s="1"/>
  <c r="B25" i="7" l="1"/>
  <c r="H25" i="7"/>
  <c r="H25" i="8" s="1"/>
  <c r="B25" i="8" l="1"/>
  <c r="B25" i="9" s="1"/>
  <c r="B25" i="10" s="1"/>
  <c r="B25" i="11" s="1"/>
  <c r="B25" i="12" s="1"/>
  <c r="H25" i="9"/>
  <c r="H25" i="10" s="1"/>
  <c r="H25" i="11" s="1"/>
  <c r="H25" i="12" s="1"/>
  <c r="K25" i="7"/>
  <c r="L25" i="7"/>
  <c r="K25" i="8" l="1"/>
  <c r="K25" i="9" s="1"/>
  <c r="L25" i="8"/>
  <c r="L25" i="9" s="1"/>
  <c r="K25" i="10" l="1"/>
  <c r="L25" i="10"/>
  <c r="K25" i="11" l="1"/>
  <c r="L25" i="11"/>
  <c r="K25" i="12" l="1"/>
  <c r="L25" i="12"/>
  <c r="L30" i="1" l="1"/>
</calcChain>
</file>

<file path=xl/sharedStrings.xml><?xml version="1.0" encoding="utf-8"?>
<sst xmlns="http://schemas.openxmlformats.org/spreadsheetml/2006/main" count="242" uniqueCount="45">
  <si>
    <t>Dates</t>
  </si>
  <si>
    <t>Désignation Sorties</t>
  </si>
  <si>
    <t>Distances</t>
  </si>
  <si>
    <t>Durées</t>
  </si>
  <si>
    <t>Vit. Moy.</t>
  </si>
  <si>
    <t>Remarques</t>
  </si>
  <si>
    <t>Nb</t>
  </si>
  <si>
    <t xml:space="preserve">Suivi Performances Janvier </t>
  </si>
  <si>
    <t>Suivi Performances Février</t>
  </si>
  <si>
    <t xml:space="preserve">Suivi Performances Mars </t>
  </si>
  <si>
    <t xml:space="preserve">Suivi Performances Avril </t>
  </si>
  <si>
    <t xml:space="preserve">Suivi Performances Mai </t>
  </si>
  <si>
    <t xml:space="preserve">Suivi Performances Juin </t>
  </si>
  <si>
    <t>Suivi Performances Juillet</t>
  </si>
  <si>
    <t xml:space="preserve">Suivi Performances Août </t>
  </si>
  <si>
    <t>Suivi Performances Septembre</t>
  </si>
  <si>
    <t xml:space="preserve">Suivi Performances Octobre </t>
  </si>
  <si>
    <t xml:space="preserve">Suivi Performances Novembre </t>
  </si>
  <si>
    <t xml:space="preserve">Suivi Performances Décembre </t>
  </si>
  <si>
    <t>Dév +</t>
  </si>
  <si>
    <t>Brochard</t>
  </si>
  <si>
    <t>S1NEO</t>
  </si>
  <si>
    <t>Année 2021</t>
  </si>
  <si>
    <t>KM total</t>
  </si>
  <si>
    <t>Année 2022</t>
  </si>
  <si>
    <t>Année 2023</t>
  </si>
  <si>
    <t>Km total 2025</t>
  </si>
  <si>
    <t>Année 2024</t>
  </si>
  <si>
    <t>Avoine Marçay Sammarçolles Bournand Couziers</t>
  </si>
  <si>
    <t>Km total 2026</t>
  </si>
  <si>
    <t>Année 2025</t>
  </si>
  <si>
    <t>Année 2026</t>
  </si>
  <si>
    <t>Avoine Bournand Sammarçolles Ceaux</t>
  </si>
  <si>
    <t>Avoine Couziers Samarçolles Couesmes</t>
  </si>
  <si>
    <t>Avoine Bourgueil Courléon Vernoil Candes</t>
  </si>
  <si>
    <t>Chinon Roiffé Chacé Candes Chinon</t>
  </si>
  <si>
    <t>Rencontre de Printemps Richelieu</t>
  </si>
  <si>
    <t>Avoine Evelyne</t>
  </si>
  <si>
    <t>Chinon St Epain Courtineau Rilly Lémeré</t>
  </si>
  <si>
    <t>Chinon St Epain Rilly</t>
  </si>
  <si>
    <t>Avoine Cyclisme sur route</t>
  </si>
  <si>
    <t>Avoine Turquant Avoine</t>
  </si>
  <si>
    <t>Chinon Chenehutte Meigné Coudray Douvy Roiffé</t>
  </si>
  <si>
    <t>Chinon Souzay Courchamp le Puy St Léger Roiffé</t>
  </si>
  <si>
    <t>Hôpital St Benoît Avoine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</si>
</sst>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sz val="10"/>
      <color theme="1"/>
      <name val="Calibri"/>
      <family val="2"/>
      <scheme val="minor"/>
    </font>
    <font>
      <sz val="8"/>
      <color rgb="FF000000"/>
      <name val="Arial"/>
      <family val="2"/>
    </font>
    <font>
      <sz val="10"/>
      <color rgb="FF101010"/>
      <name val="Arial"/>
      <family val="2"/>
    </font>
    <font>
      <sz val="11"/>
      <color rgb="FF1010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  <xf numFmtId="14" fontId="0" fillId="0" borderId="2" xfId="0" applyNumberFormat="1" applyBorder="1"/>
    <xf numFmtId="0" fontId="0" fillId="0" borderId="2" xfId="0" applyBorder="1"/>
    <xf numFmtId="164" fontId="0" fillId="0" borderId="2" xfId="0" applyNumberFormat="1" applyBorder="1"/>
    <xf numFmtId="0" fontId="2" fillId="0" borderId="3" xfId="0" applyFont="1" applyBorder="1"/>
    <xf numFmtId="0" fontId="2" fillId="0" borderId="4" xfId="0" applyFont="1" applyBorder="1"/>
    <xf numFmtId="164" fontId="2" fillId="0" borderId="4" xfId="0" applyNumberFormat="1" applyFont="1" applyBorder="1"/>
    <xf numFmtId="0" fontId="2" fillId="0" borderId="5" xfId="0" applyFont="1" applyBorder="1"/>
    <xf numFmtId="0" fontId="2" fillId="0" borderId="6" xfId="0" applyFont="1" applyBorder="1"/>
    <xf numFmtId="0" fontId="1" fillId="0" borderId="0" xfId="0" applyFont="1" applyAlignment="1">
      <alignment horizontal="center"/>
    </xf>
    <xf numFmtId="0" fontId="1" fillId="0" borderId="7" xfId="0" applyFont="1" applyBorder="1"/>
    <xf numFmtId="0" fontId="1" fillId="0" borderId="7" xfId="0" applyFont="1" applyBorder="1" applyAlignment="1">
      <alignment horizontal="center"/>
    </xf>
    <xf numFmtId="164" fontId="2" fillId="0" borderId="8" xfId="0" applyNumberFormat="1" applyFont="1" applyBorder="1" applyAlignment="1">
      <alignment horizontal="center" vertical="center"/>
    </xf>
    <xf numFmtId="0" fontId="3" fillId="0" borderId="1" xfId="0" applyFont="1" applyBorder="1"/>
    <xf numFmtId="14" fontId="0" fillId="0" borderId="0" xfId="0" applyNumberFormat="1"/>
    <xf numFmtId="16" fontId="0" fillId="0" borderId="1" xfId="0" applyNumberFormat="1" applyBorder="1"/>
    <xf numFmtId="0" fontId="4" fillId="2" borderId="0" xfId="0" applyFont="1" applyFill="1"/>
    <xf numFmtId="0" fontId="0" fillId="0" borderId="9" xfId="0" applyBorder="1"/>
    <xf numFmtId="0" fontId="5" fillId="0" borderId="0" xfId="0" applyFont="1"/>
    <xf numFmtId="14" fontId="0" fillId="2" borderId="1" xfId="0" applyNumberFormat="1" applyFill="1" applyBorder="1"/>
    <xf numFmtId="0" fontId="0" fillId="2" borderId="1" xfId="0" applyFill="1" applyBorder="1"/>
    <xf numFmtId="0" fontId="0" fillId="2" borderId="2" xfId="0" applyFill="1" applyBorder="1"/>
    <xf numFmtId="164" fontId="0" fillId="2" borderId="1" xfId="0" applyNumberFormat="1" applyFill="1" applyBorder="1"/>
    <xf numFmtId="164" fontId="0" fillId="2" borderId="2" xfId="0" applyNumberFormat="1" applyFill="1" applyBorder="1"/>
    <xf numFmtId="0" fontId="0" fillId="2" borderId="0" xfId="0" applyFill="1"/>
    <xf numFmtId="0" fontId="2" fillId="0" borderId="8" xfId="0" applyFont="1" applyBorder="1"/>
    <xf numFmtId="0" fontId="0" fillId="0" borderId="10" xfId="0" applyBorder="1"/>
    <xf numFmtId="16" fontId="0" fillId="0" borderId="11" xfId="0" applyNumberFormat="1" applyBorder="1"/>
    <xf numFmtId="0" fontId="0" fillId="0" borderId="11" xfId="0" applyBorder="1"/>
    <xf numFmtId="0" fontId="3" fillId="0" borderId="3" xfId="0" applyFont="1" applyBorder="1"/>
    <xf numFmtId="0" fontId="3" fillId="0" borderId="5" xfId="0" applyFont="1" applyBorder="1"/>
    <xf numFmtId="14" fontId="0" fillId="0" borderId="9" xfId="0" applyNumberFormat="1" applyBorder="1"/>
    <xf numFmtId="14" fontId="0" fillId="2" borderId="2" xfId="0" applyNumberFormat="1" applyFill="1" applyBorder="1"/>
    <xf numFmtId="14" fontId="3" fillId="0" borderId="1" xfId="0" applyNumberFormat="1" applyFont="1" applyBorder="1"/>
    <xf numFmtId="0" fontId="3" fillId="0" borderId="2" xfId="0" applyFont="1" applyBorder="1"/>
    <xf numFmtId="164" fontId="3" fillId="0" borderId="1" xfId="0" applyNumberFormat="1" applyFont="1" applyBorder="1"/>
    <xf numFmtId="0" fontId="5" fillId="0" borderId="1" xfId="0" applyFont="1" applyBorder="1"/>
    <xf numFmtId="0" fontId="5" fillId="0" borderId="2" xfId="0" applyFont="1" applyBorder="1"/>
    <xf numFmtId="164" fontId="5" fillId="0" borderId="1" xfId="0" applyNumberFormat="1" applyFont="1" applyBorder="1"/>
    <xf numFmtId="164" fontId="5" fillId="0" borderId="2" xfId="0" applyNumberFormat="1" applyFont="1" applyBorder="1"/>
    <xf numFmtId="14" fontId="5" fillId="0" borderId="1" xfId="0" applyNumberFormat="1" applyFont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2" xfId="0" applyFont="1" applyBorder="1"/>
    <xf numFmtId="0" fontId="9" fillId="2" borderId="1" xfId="0" applyFont="1" applyFill="1" applyBorder="1"/>
    <xf numFmtId="0" fontId="0" fillId="3" borderId="2" xfId="0" applyFill="1" applyBorder="1"/>
    <xf numFmtId="164" fontId="0" fillId="3" borderId="1" xfId="0" applyNumberFormat="1" applyFill="1" applyBorder="1"/>
    <xf numFmtId="0" fontId="10" fillId="0" borderId="0" xfId="0" applyFont="1"/>
    <xf numFmtId="0" fontId="9" fillId="0" borderId="1" xfId="0" applyFont="1" applyBorder="1"/>
    <xf numFmtId="0" fontId="2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66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workbookViewId="0">
      <selection activeCell="B22" sqref="B22"/>
    </sheetView>
  </sheetViews>
  <sheetFormatPr baseColWidth="10" defaultRowHeight="15" x14ac:dyDescent="0.25"/>
  <cols>
    <col min="1" max="1" width="13.140625" customWidth="1"/>
    <col min="2" max="2" width="34.28515625" customWidth="1"/>
    <col min="3" max="3" width="4" customWidth="1"/>
    <col min="4" max="4" width="12" customWidth="1"/>
    <col min="5" max="5" width="5.7109375" customWidth="1"/>
    <col min="6" max="6" width="5.85546875" customWidth="1"/>
    <col min="7" max="7" width="5.7109375" customWidth="1"/>
    <col min="8" max="8" width="11.5703125" style="1" bestFit="1" customWidth="1"/>
    <col min="9" max="9" width="11.5703125" style="1" customWidth="1"/>
    <col min="10" max="10" width="18.5703125" customWidth="1"/>
    <col min="11" max="11" width="8.85546875" customWidth="1"/>
    <col min="12" max="12" width="8.42578125" customWidth="1"/>
  </cols>
  <sheetData>
    <row r="1" spans="1:12" ht="27" thickBot="1" x14ac:dyDescent="0.45">
      <c r="A1" s="55" t="s">
        <v>7</v>
      </c>
      <c r="B1" s="55"/>
      <c r="C1" s="55"/>
      <c r="D1" s="55"/>
      <c r="E1" s="55"/>
      <c r="F1" s="55"/>
      <c r="G1" s="55"/>
      <c r="H1" s="15">
        <v>2026</v>
      </c>
      <c r="I1" s="15"/>
      <c r="J1" s="14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54" t="s">
        <v>3</v>
      </c>
      <c r="F2" s="54"/>
      <c r="G2" s="54"/>
      <c r="H2" s="10" t="s">
        <v>4</v>
      </c>
      <c r="I2" s="16" t="s">
        <v>19</v>
      </c>
      <c r="J2" s="29" t="s">
        <v>5</v>
      </c>
      <c r="K2" s="33" t="s">
        <v>20</v>
      </c>
      <c r="L2" s="34" t="s">
        <v>21</v>
      </c>
    </row>
    <row r="3" spans="1:12" x14ac:dyDescent="0.25">
      <c r="A3" s="5">
        <v>46035</v>
      </c>
      <c r="B3" s="46" t="s">
        <v>32</v>
      </c>
      <c r="C3" s="6">
        <v>1</v>
      </c>
      <c r="D3" s="6">
        <v>75</v>
      </c>
      <c r="E3" s="6">
        <v>3</v>
      </c>
      <c r="F3" s="6">
        <v>19</v>
      </c>
      <c r="G3" s="6">
        <f>SUM(E3*60+F3)</f>
        <v>199</v>
      </c>
      <c r="H3" s="7">
        <f>SUM(D3/G3*60)</f>
        <v>22.613065326633166</v>
      </c>
      <c r="I3" s="7">
        <v>367</v>
      </c>
      <c r="J3" s="30"/>
      <c r="K3" s="6"/>
      <c r="L3" s="6">
        <v>75</v>
      </c>
    </row>
    <row r="4" spans="1:12" x14ac:dyDescent="0.25">
      <c r="A4" s="4">
        <v>46044</v>
      </c>
      <c r="B4" s="56" t="s">
        <v>33</v>
      </c>
      <c r="C4" s="6">
        <v>2</v>
      </c>
      <c r="D4" s="2">
        <v>78</v>
      </c>
      <c r="E4" s="2">
        <v>3</v>
      </c>
      <c r="F4" s="2">
        <v>9</v>
      </c>
      <c r="G4" s="2">
        <f t="shared" ref="G4:G20" si="0">SUM(E4*60+F4)</f>
        <v>189</v>
      </c>
      <c r="H4" s="3">
        <f t="shared" ref="H4:H20" si="1">SUM(D4/G4*60)</f>
        <v>24.761904761904759</v>
      </c>
      <c r="I4" s="7">
        <v>430</v>
      </c>
      <c r="J4" s="30"/>
      <c r="K4" s="2"/>
      <c r="L4" s="2">
        <v>78</v>
      </c>
    </row>
    <row r="5" spans="1:12" x14ac:dyDescent="0.25">
      <c r="A5" s="4">
        <v>46046</v>
      </c>
      <c r="B5" s="56" t="s">
        <v>28</v>
      </c>
      <c r="C5" s="6">
        <v>3</v>
      </c>
      <c r="D5" s="2">
        <v>66</v>
      </c>
      <c r="E5" s="2">
        <v>2</v>
      </c>
      <c r="F5" s="2">
        <v>59</v>
      </c>
      <c r="G5" s="2">
        <f t="shared" si="0"/>
        <v>179</v>
      </c>
      <c r="H5" s="3">
        <f t="shared" si="1"/>
        <v>22.122905027932962</v>
      </c>
      <c r="I5" s="3">
        <v>342</v>
      </c>
      <c r="J5" s="31"/>
      <c r="K5" s="2"/>
      <c r="L5" s="2">
        <v>66</v>
      </c>
    </row>
    <row r="6" spans="1:12" x14ac:dyDescent="0.25">
      <c r="A6" s="4"/>
      <c r="B6" s="2"/>
      <c r="C6" s="6">
        <v>4</v>
      </c>
      <c r="D6" s="2"/>
      <c r="E6" s="2"/>
      <c r="F6" s="2"/>
      <c r="G6" s="2">
        <f t="shared" si="0"/>
        <v>0</v>
      </c>
      <c r="H6" s="3" t="e">
        <f t="shared" si="1"/>
        <v>#DIV/0!</v>
      </c>
      <c r="I6" s="3"/>
      <c r="J6" s="30"/>
      <c r="K6" s="2"/>
      <c r="L6" s="2"/>
    </row>
    <row r="7" spans="1:12" x14ac:dyDescent="0.25">
      <c r="A7" s="4"/>
      <c r="B7" s="2"/>
      <c r="C7" s="6">
        <v>5</v>
      </c>
      <c r="D7" s="2"/>
      <c r="E7" s="2"/>
      <c r="F7" s="2"/>
      <c r="G7" s="2">
        <f t="shared" si="0"/>
        <v>0</v>
      </c>
      <c r="H7" s="3" t="e">
        <f t="shared" si="1"/>
        <v>#DIV/0!</v>
      </c>
      <c r="I7" s="3"/>
      <c r="J7" s="30"/>
      <c r="K7" s="2"/>
      <c r="L7" s="2"/>
    </row>
    <row r="8" spans="1:12" x14ac:dyDescent="0.25">
      <c r="A8" s="4"/>
      <c r="B8" s="2"/>
      <c r="C8" s="6">
        <v>6</v>
      </c>
      <c r="D8" s="2"/>
      <c r="E8" s="2"/>
      <c r="F8" s="2"/>
      <c r="G8" s="2">
        <f t="shared" si="0"/>
        <v>0</v>
      </c>
      <c r="H8" s="3" t="e">
        <f t="shared" si="1"/>
        <v>#DIV/0!</v>
      </c>
      <c r="I8" s="3"/>
      <c r="J8" s="32"/>
      <c r="K8" s="2"/>
      <c r="L8" s="2"/>
    </row>
    <row r="9" spans="1:12" x14ac:dyDescent="0.25">
      <c r="A9" s="4"/>
      <c r="B9" s="21"/>
      <c r="C9" s="6">
        <v>7</v>
      </c>
      <c r="D9" s="2"/>
      <c r="E9" s="2"/>
      <c r="F9" s="2"/>
      <c r="G9" s="2">
        <f t="shared" si="0"/>
        <v>0</v>
      </c>
      <c r="H9" s="3" t="e">
        <f t="shared" si="1"/>
        <v>#DIV/0!</v>
      </c>
      <c r="I9" s="3"/>
      <c r="J9" s="32"/>
      <c r="K9" s="19"/>
      <c r="L9" s="2"/>
    </row>
    <row r="10" spans="1:12" x14ac:dyDescent="0.25">
      <c r="A10" s="4"/>
      <c r="B10" s="2"/>
      <c r="C10" s="6">
        <v>8</v>
      </c>
      <c r="D10" s="2"/>
      <c r="E10" s="2"/>
      <c r="F10" s="2"/>
      <c r="G10" s="2">
        <f t="shared" si="0"/>
        <v>0</v>
      </c>
      <c r="H10" s="3" t="e">
        <f t="shared" si="1"/>
        <v>#DIV/0!</v>
      </c>
      <c r="I10" s="7"/>
      <c r="J10" s="32"/>
      <c r="K10" s="2"/>
      <c r="L10" s="2"/>
    </row>
    <row r="11" spans="1:12" x14ac:dyDescent="0.25">
      <c r="A11" s="4"/>
      <c r="B11" s="2"/>
      <c r="C11" s="6">
        <v>9</v>
      </c>
      <c r="D11" s="2"/>
      <c r="E11" s="2"/>
      <c r="F11" s="2"/>
      <c r="G11" s="2">
        <f t="shared" si="0"/>
        <v>0</v>
      </c>
      <c r="H11" s="3" t="e">
        <f t="shared" si="1"/>
        <v>#DIV/0!</v>
      </c>
      <c r="I11" s="3"/>
      <c r="J11" s="30"/>
      <c r="K11" s="2"/>
      <c r="L11" s="2"/>
    </row>
    <row r="12" spans="1:12" x14ac:dyDescent="0.25">
      <c r="A12" s="4"/>
      <c r="B12" s="2"/>
      <c r="C12" s="6">
        <v>10</v>
      </c>
      <c r="D12" s="2"/>
      <c r="E12" s="2"/>
      <c r="F12" s="2"/>
      <c r="G12" s="2">
        <f t="shared" si="0"/>
        <v>0</v>
      </c>
      <c r="H12" s="3" t="e">
        <f t="shared" si="1"/>
        <v>#DIV/0!</v>
      </c>
      <c r="I12" s="3"/>
      <c r="J12" s="32"/>
      <c r="K12" s="2"/>
      <c r="L12" s="2"/>
    </row>
    <row r="13" spans="1:12" x14ac:dyDescent="0.25">
      <c r="A13" s="4"/>
      <c r="B13" s="2"/>
      <c r="C13" s="6">
        <v>11</v>
      </c>
      <c r="D13" s="2"/>
      <c r="E13" s="2"/>
      <c r="F13" s="2"/>
      <c r="G13" s="2">
        <f t="shared" si="0"/>
        <v>0</v>
      </c>
      <c r="H13" s="3" t="e">
        <f t="shared" si="1"/>
        <v>#DIV/0!</v>
      </c>
      <c r="I13" s="3"/>
      <c r="J13" s="32"/>
      <c r="K13" s="2"/>
      <c r="L13" s="2"/>
    </row>
    <row r="14" spans="1:12" x14ac:dyDescent="0.25">
      <c r="A14" s="4"/>
      <c r="B14" s="2"/>
      <c r="C14" s="6">
        <v>12</v>
      </c>
      <c r="D14" s="2"/>
      <c r="E14" s="2"/>
      <c r="F14" s="2"/>
      <c r="G14" s="2">
        <f t="shared" si="0"/>
        <v>0</v>
      </c>
      <c r="H14" s="3" t="e">
        <f t="shared" si="1"/>
        <v>#DIV/0!</v>
      </c>
      <c r="I14" s="3"/>
      <c r="J14" s="32"/>
      <c r="K14" s="2"/>
      <c r="L14" s="2"/>
    </row>
    <row r="15" spans="1:12" x14ac:dyDescent="0.25">
      <c r="A15" s="4"/>
      <c r="B15" s="2"/>
      <c r="C15" s="6">
        <v>13</v>
      </c>
      <c r="D15" s="2"/>
      <c r="E15" s="2"/>
      <c r="F15" s="2"/>
      <c r="G15" s="2">
        <f t="shared" si="0"/>
        <v>0</v>
      </c>
      <c r="H15" s="3" t="e">
        <f t="shared" si="1"/>
        <v>#DIV/0!</v>
      </c>
      <c r="I15" s="3"/>
      <c r="J15" s="32"/>
      <c r="K15" s="2"/>
      <c r="L15" s="2"/>
    </row>
    <row r="16" spans="1:12" x14ac:dyDescent="0.25">
      <c r="A16" s="4"/>
      <c r="B16" s="2"/>
      <c r="C16" s="6">
        <v>14</v>
      </c>
      <c r="D16" s="2"/>
      <c r="E16" s="2"/>
      <c r="F16" s="2"/>
      <c r="G16" s="2">
        <f t="shared" si="0"/>
        <v>0</v>
      </c>
      <c r="H16" s="3" t="e">
        <f t="shared" si="1"/>
        <v>#DIV/0!</v>
      </c>
      <c r="I16" s="3"/>
      <c r="J16" s="32"/>
      <c r="K16" s="2"/>
      <c r="L16" s="2"/>
    </row>
    <row r="17" spans="1:12" x14ac:dyDescent="0.25">
      <c r="A17" s="4"/>
      <c r="B17" s="2"/>
      <c r="C17" s="6">
        <v>15</v>
      </c>
      <c r="D17" s="2"/>
      <c r="E17" s="2"/>
      <c r="F17" s="2"/>
      <c r="G17" s="2">
        <f t="shared" si="0"/>
        <v>0</v>
      </c>
      <c r="H17" s="3" t="e">
        <f t="shared" si="1"/>
        <v>#DIV/0!</v>
      </c>
      <c r="I17" s="3"/>
      <c r="J17" s="32"/>
      <c r="K17" s="2"/>
      <c r="L17" s="2"/>
    </row>
    <row r="18" spans="1:12" x14ac:dyDescent="0.25">
      <c r="A18" s="4"/>
      <c r="B18" s="2"/>
      <c r="C18" s="6">
        <v>16</v>
      </c>
      <c r="D18" s="2"/>
      <c r="E18" s="2"/>
      <c r="F18" s="2"/>
      <c r="G18" s="2">
        <f t="shared" si="0"/>
        <v>0</v>
      </c>
      <c r="H18" s="3" t="e">
        <f t="shared" si="1"/>
        <v>#DIV/0!</v>
      </c>
      <c r="I18" s="3"/>
      <c r="J18" s="32"/>
      <c r="K18" s="2"/>
      <c r="L18" s="2"/>
    </row>
    <row r="19" spans="1:12" x14ac:dyDescent="0.25">
      <c r="A19" s="4"/>
      <c r="B19" s="2"/>
      <c r="C19" s="6">
        <v>17</v>
      </c>
      <c r="D19" s="2"/>
      <c r="E19" s="2"/>
      <c r="F19" s="2"/>
      <c r="G19" s="2">
        <f t="shared" si="0"/>
        <v>0</v>
      </c>
      <c r="H19" s="3" t="e">
        <f t="shared" si="1"/>
        <v>#DIV/0!</v>
      </c>
      <c r="I19" s="3"/>
      <c r="J19" s="32"/>
      <c r="K19" s="2"/>
      <c r="L19" s="2"/>
    </row>
    <row r="20" spans="1:12" x14ac:dyDescent="0.25">
      <c r="A20" s="4"/>
      <c r="B20" s="2"/>
      <c r="C20" s="6">
        <v>18</v>
      </c>
      <c r="D20" s="2"/>
      <c r="E20" s="2"/>
      <c r="F20" s="2"/>
      <c r="G20" s="2">
        <f t="shared" si="0"/>
        <v>0</v>
      </c>
      <c r="H20" s="3" t="e">
        <f t="shared" si="1"/>
        <v>#DIV/0!</v>
      </c>
      <c r="I20" s="3"/>
      <c r="J20" s="32"/>
      <c r="K20" s="2"/>
      <c r="L20" s="2"/>
    </row>
    <row r="21" spans="1:12" x14ac:dyDescent="0.25">
      <c r="D21">
        <f>SUM(D3:D20)</f>
        <v>219</v>
      </c>
      <c r="I21" s="1">
        <f>SUM(I3:I20)</f>
        <v>1139</v>
      </c>
      <c r="K21">
        <f>SUM(K3:K20)</f>
        <v>0</v>
      </c>
      <c r="L21">
        <f>SUM(L3:L20)</f>
        <v>219</v>
      </c>
    </row>
    <row r="22" spans="1:12" x14ac:dyDescent="0.25">
      <c r="A22" t="s">
        <v>29</v>
      </c>
      <c r="B22">
        <f>SUM(D21+0)</f>
        <v>219</v>
      </c>
      <c r="H22" s="1">
        <f>SUM(I21+0)</f>
        <v>1139</v>
      </c>
      <c r="K22">
        <f>SUM(K21)</f>
        <v>0</v>
      </c>
      <c r="L22">
        <f>SUM(L21)</f>
        <v>219</v>
      </c>
    </row>
    <row r="23" spans="1:12" x14ac:dyDescent="0.25">
      <c r="J23" t="s">
        <v>22</v>
      </c>
      <c r="K23">
        <v>1843</v>
      </c>
      <c r="L23">
        <v>9688</v>
      </c>
    </row>
    <row r="24" spans="1:12" x14ac:dyDescent="0.25">
      <c r="J24" t="s">
        <v>24</v>
      </c>
      <c r="K24">
        <v>2920</v>
      </c>
      <c r="L24">
        <v>6089</v>
      </c>
    </row>
    <row r="25" spans="1:12" x14ac:dyDescent="0.25">
      <c r="J25" t="s">
        <v>25</v>
      </c>
      <c r="K25">
        <v>7538</v>
      </c>
      <c r="L25">
        <v>3488</v>
      </c>
    </row>
    <row r="26" spans="1:12" x14ac:dyDescent="0.25">
      <c r="J26" t="s">
        <v>27</v>
      </c>
      <c r="K26">
        <v>624</v>
      </c>
      <c r="L26">
        <v>4941</v>
      </c>
    </row>
    <row r="27" spans="1:12" x14ac:dyDescent="0.25">
      <c r="J27" t="s">
        <v>30</v>
      </c>
      <c r="K27">
        <v>289</v>
      </c>
      <c r="L27">
        <v>6903</v>
      </c>
    </row>
    <row r="28" spans="1:12" x14ac:dyDescent="0.25">
      <c r="J28" t="s">
        <v>31</v>
      </c>
    </row>
    <row r="30" spans="1:12" x14ac:dyDescent="0.25">
      <c r="J30" t="s">
        <v>23</v>
      </c>
      <c r="K30">
        <f>SUM(K23:K29)</f>
        <v>13214</v>
      </c>
      <c r="L30">
        <f>SUM(L23:L29)</f>
        <v>31109</v>
      </c>
    </row>
  </sheetData>
  <mergeCells count="2">
    <mergeCell ref="E2:G2"/>
    <mergeCell ref="A1:G1"/>
  </mergeCells>
  <pageMargins left="0.7" right="0.7" top="0.75" bottom="0.75" header="0.3" footer="0.3"/>
  <pageSetup paperSize="9" orientation="portrait" horizontalDpi="4294967293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"/>
  <sheetViews>
    <sheetView topLeftCell="B1" workbookViewId="0">
      <selection activeCell="B22" sqref="B22"/>
    </sheetView>
  </sheetViews>
  <sheetFormatPr baseColWidth="10" defaultRowHeight="15" x14ac:dyDescent="0.25"/>
  <cols>
    <col min="1" max="1" width="12.42578125" customWidth="1"/>
    <col min="2" max="2" width="34.28515625" customWidth="1"/>
    <col min="3" max="3" width="4" customWidth="1"/>
    <col min="4" max="4" width="12" customWidth="1"/>
    <col min="5" max="5" width="5.7109375" customWidth="1"/>
    <col min="6" max="6" width="5.85546875" customWidth="1"/>
    <col min="7" max="7" width="5.7109375" customWidth="1"/>
    <col min="8" max="9" width="11.42578125" style="1"/>
    <col min="10" max="10" width="18.5703125" customWidth="1"/>
    <col min="11" max="12" width="8.85546875" customWidth="1"/>
  </cols>
  <sheetData>
    <row r="1" spans="1:12" ht="27" thickBot="1" x14ac:dyDescent="0.45">
      <c r="A1" s="55" t="s">
        <v>8</v>
      </c>
      <c r="B1" s="55"/>
      <c r="C1" s="55"/>
      <c r="D1" s="55"/>
      <c r="E1" s="55"/>
      <c r="F1" s="55"/>
      <c r="G1" s="55"/>
      <c r="H1" s="13">
        <f>SUM(Janv!H1)</f>
        <v>2026</v>
      </c>
      <c r="I1" s="13"/>
      <c r="J1" s="13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54" t="s">
        <v>3</v>
      </c>
      <c r="F2" s="54"/>
      <c r="G2" s="54"/>
      <c r="H2" s="10" t="s">
        <v>4</v>
      </c>
      <c r="I2" s="16" t="s">
        <v>19</v>
      </c>
      <c r="J2" s="11" t="s">
        <v>5</v>
      </c>
      <c r="K2" s="33" t="s">
        <v>20</v>
      </c>
      <c r="L2" s="34" t="s">
        <v>21</v>
      </c>
    </row>
    <row r="3" spans="1:12" x14ac:dyDescent="0.25">
      <c r="A3" s="5">
        <v>46067</v>
      </c>
      <c r="B3" s="56" t="s">
        <v>34</v>
      </c>
      <c r="C3" s="6">
        <v>1</v>
      </c>
      <c r="D3" s="6">
        <v>69</v>
      </c>
      <c r="E3" s="6">
        <v>3</v>
      </c>
      <c r="F3" s="6">
        <v>14</v>
      </c>
      <c r="G3" s="6">
        <f>SUM(E3*60+F3)</f>
        <v>194</v>
      </c>
      <c r="H3" s="7">
        <f>SUM(D3/G3*60)</f>
        <v>21.340206185567013</v>
      </c>
      <c r="I3" s="7">
        <v>451</v>
      </c>
      <c r="J3" s="6"/>
      <c r="K3" s="6"/>
      <c r="L3" s="6">
        <v>69</v>
      </c>
    </row>
    <row r="4" spans="1:12" x14ac:dyDescent="0.25">
      <c r="A4" s="4">
        <v>46070</v>
      </c>
      <c r="B4" s="57" t="s">
        <v>35</v>
      </c>
      <c r="C4" s="6">
        <v>2</v>
      </c>
      <c r="D4" s="2">
        <v>90</v>
      </c>
      <c r="E4" s="2">
        <v>4</v>
      </c>
      <c r="F4" s="2">
        <v>6</v>
      </c>
      <c r="G4" s="2">
        <f t="shared" ref="G4:G20" si="0">SUM(E4*60+F4)</f>
        <v>246</v>
      </c>
      <c r="H4" s="3">
        <f t="shared" ref="H4:H20" si="1">SUM(D4/G4*60)</f>
        <v>21.95121951219512</v>
      </c>
      <c r="I4" s="7">
        <v>637</v>
      </c>
      <c r="J4" s="2"/>
      <c r="K4" s="2"/>
      <c r="L4" s="2">
        <v>90</v>
      </c>
    </row>
    <row r="5" spans="1:12" x14ac:dyDescent="0.25">
      <c r="A5" s="4"/>
      <c r="B5" s="46"/>
      <c r="C5" s="6">
        <v>3</v>
      </c>
      <c r="D5" s="2"/>
      <c r="E5" s="2"/>
      <c r="F5" s="2"/>
      <c r="G5" s="2">
        <f t="shared" si="0"/>
        <v>0</v>
      </c>
      <c r="H5" s="3" t="e">
        <f t="shared" si="1"/>
        <v>#DIV/0!</v>
      </c>
      <c r="I5" s="3"/>
      <c r="J5" s="2"/>
      <c r="K5" s="2"/>
      <c r="L5" s="2"/>
    </row>
    <row r="6" spans="1:12" x14ac:dyDescent="0.25">
      <c r="A6" s="4"/>
      <c r="B6" s="46"/>
      <c r="C6" s="6">
        <v>4</v>
      </c>
      <c r="D6" s="2"/>
      <c r="E6" s="2"/>
      <c r="F6" s="2"/>
      <c r="G6" s="2">
        <f t="shared" si="0"/>
        <v>0</v>
      </c>
      <c r="H6" s="3" t="e">
        <f t="shared" si="1"/>
        <v>#DIV/0!</v>
      </c>
      <c r="I6" s="3"/>
      <c r="J6" s="2"/>
      <c r="K6" s="2"/>
      <c r="L6" s="2"/>
    </row>
    <row r="7" spans="1:12" x14ac:dyDescent="0.25">
      <c r="A7" s="4"/>
      <c r="B7" s="2"/>
      <c r="C7" s="6">
        <v>5</v>
      </c>
      <c r="D7" s="2"/>
      <c r="E7" s="2"/>
      <c r="F7" s="2"/>
      <c r="G7" s="2">
        <f t="shared" si="0"/>
        <v>0</v>
      </c>
      <c r="H7" s="3" t="e">
        <f t="shared" si="1"/>
        <v>#DIV/0!</v>
      </c>
      <c r="I7" s="3"/>
      <c r="J7" s="6"/>
      <c r="K7" s="2"/>
      <c r="L7" s="2"/>
    </row>
    <row r="8" spans="1:12" x14ac:dyDescent="0.25">
      <c r="A8" s="4"/>
      <c r="B8" s="2"/>
      <c r="C8" s="6">
        <v>6</v>
      </c>
      <c r="D8" s="2"/>
      <c r="E8" s="2"/>
      <c r="F8" s="2"/>
      <c r="G8" s="2">
        <f t="shared" si="0"/>
        <v>0</v>
      </c>
      <c r="H8" s="3" t="e">
        <f t="shared" si="1"/>
        <v>#DIV/0!</v>
      </c>
      <c r="I8" s="3"/>
      <c r="J8" s="2"/>
      <c r="K8" s="2"/>
      <c r="L8" s="2"/>
    </row>
    <row r="9" spans="1:12" x14ac:dyDescent="0.25">
      <c r="A9" s="4"/>
      <c r="B9" s="2"/>
      <c r="C9" s="6">
        <v>7</v>
      </c>
      <c r="D9" s="2"/>
      <c r="E9" s="2"/>
      <c r="F9" s="2"/>
      <c r="G9" s="2">
        <f t="shared" si="0"/>
        <v>0</v>
      </c>
      <c r="H9" s="3" t="e">
        <f t="shared" si="1"/>
        <v>#DIV/0!</v>
      </c>
      <c r="I9" s="3"/>
      <c r="J9" s="2"/>
      <c r="K9" s="19"/>
      <c r="L9" s="2"/>
    </row>
    <row r="10" spans="1:12" x14ac:dyDescent="0.25">
      <c r="A10" s="4"/>
      <c r="B10" s="2"/>
      <c r="C10" s="6">
        <v>8</v>
      </c>
      <c r="D10" s="2"/>
      <c r="E10" s="2"/>
      <c r="F10" s="2"/>
      <c r="G10" s="2">
        <f t="shared" si="0"/>
        <v>0</v>
      </c>
      <c r="H10" s="3" t="e">
        <f t="shared" si="1"/>
        <v>#DIV/0!</v>
      </c>
      <c r="I10" s="7"/>
      <c r="J10" s="2"/>
      <c r="K10" s="2"/>
      <c r="L10" s="2"/>
    </row>
    <row r="11" spans="1:12" x14ac:dyDescent="0.25">
      <c r="A11" s="4"/>
      <c r="B11" s="2"/>
      <c r="C11" s="6">
        <v>9</v>
      </c>
      <c r="D11" s="2"/>
      <c r="E11" s="2"/>
      <c r="F11" s="2"/>
      <c r="G11" s="2">
        <f t="shared" si="0"/>
        <v>0</v>
      </c>
      <c r="H11" s="3" t="e">
        <f t="shared" si="1"/>
        <v>#DIV/0!</v>
      </c>
      <c r="I11" s="3"/>
      <c r="J11" s="2"/>
      <c r="K11" s="2"/>
      <c r="L11" s="2"/>
    </row>
    <row r="12" spans="1:12" x14ac:dyDescent="0.25">
      <c r="A12" s="4"/>
      <c r="B12" s="2"/>
      <c r="C12" s="6">
        <v>10</v>
      </c>
      <c r="D12" s="2"/>
      <c r="E12" s="2"/>
      <c r="F12" s="2"/>
      <c r="G12" s="2">
        <f t="shared" si="0"/>
        <v>0</v>
      </c>
      <c r="H12" s="3" t="e">
        <f t="shared" si="1"/>
        <v>#DIV/0!</v>
      </c>
      <c r="I12" s="3"/>
      <c r="J12" s="2"/>
      <c r="K12" s="2"/>
      <c r="L12" s="2"/>
    </row>
    <row r="13" spans="1:12" x14ac:dyDescent="0.25">
      <c r="A13" s="4"/>
      <c r="B13" s="2"/>
      <c r="C13" s="6">
        <v>11</v>
      </c>
      <c r="D13" s="2"/>
      <c r="E13" s="2"/>
      <c r="F13" s="2"/>
      <c r="G13" s="2">
        <f t="shared" si="0"/>
        <v>0</v>
      </c>
      <c r="H13" s="3" t="e">
        <f t="shared" si="1"/>
        <v>#DIV/0!</v>
      </c>
      <c r="I13" s="3"/>
      <c r="J13" s="2"/>
      <c r="K13" s="2"/>
      <c r="L13" s="2"/>
    </row>
    <row r="14" spans="1:12" x14ac:dyDescent="0.25">
      <c r="A14" s="4"/>
      <c r="B14" s="2"/>
      <c r="C14" s="6">
        <v>12</v>
      </c>
      <c r="D14" s="2"/>
      <c r="E14" s="2"/>
      <c r="F14" s="2"/>
      <c r="G14" s="2">
        <f t="shared" si="0"/>
        <v>0</v>
      </c>
      <c r="H14" s="3" t="e">
        <f t="shared" si="1"/>
        <v>#DIV/0!</v>
      </c>
      <c r="I14" s="3"/>
      <c r="J14" s="2"/>
      <c r="K14" s="2"/>
      <c r="L14" s="2"/>
    </row>
    <row r="15" spans="1:12" x14ac:dyDescent="0.25">
      <c r="A15" s="4"/>
      <c r="B15" s="2"/>
      <c r="C15" s="6">
        <v>13</v>
      </c>
      <c r="D15" s="2"/>
      <c r="E15" s="2"/>
      <c r="F15" s="2"/>
      <c r="G15" s="2">
        <f t="shared" si="0"/>
        <v>0</v>
      </c>
      <c r="H15" s="3" t="e">
        <f t="shared" si="1"/>
        <v>#DIV/0!</v>
      </c>
      <c r="I15" s="3"/>
      <c r="J15" s="2"/>
      <c r="K15" s="2"/>
      <c r="L15" s="2"/>
    </row>
    <row r="16" spans="1:12" x14ac:dyDescent="0.25">
      <c r="A16" s="4"/>
      <c r="B16" s="2"/>
      <c r="C16" s="6">
        <v>14</v>
      </c>
      <c r="D16" s="2"/>
      <c r="E16" s="2"/>
      <c r="F16" s="2"/>
      <c r="G16" s="2">
        <f t="shared" si="0"/>
        <v>0</v>
      </c>
      <c r="H16" s="3" t="e">
        <f t="shared" si="1"/>
        <v>#DIV/0!</v>
      </c>
      <c r="I16" s="3"/>
      <c r="J16" s="2"/>
      <c r="K16" s="2"/>
      <c r="L16" s="2"/>
    </row>
    <row r="17" spans="1:12" x14ac:dyDescent="0.25">
      <c r="A17" s="4"/>
      <c r="B17" s="2"/>
      <c r="C17" s="6">
        <v>15</v>
      </c>
      <c r="D17" s="2"/>
      <c r="E17" s="2"/>
      <c r="F17" s="2"/>
      <c r="G17" s="2">
        <f t="shared" si="0"/>
        <v>0</v>
      </c>
      <c r="H17" s="3" t="e">
        <f t="shared" si="1"/>
        <v>#DIV/0!</v>
      </c>
      <c r="I17" s="3"/>
      <c r="J17" s="2"/>
      <c r="K17" s="2"/>
      <c r="L17" s="2"/>
    </row>
    <row r="18" spans="1:12" x14ac:dyDescent="0.25">
      <c r="A18" s="4"/>
      <c r="B18" s="2"/>
      <c r="C18" s="6">
        <v>16</v>
      </c>
      <c r="D18" s="2"/>
      <c r="E18" s="2"/>
      <c r="F18" s="2"/>
      <c r="G18" s="2">
        <f t="shared" si="0"/>
        <v>0</v>
      </c>
      <c r="H18" s="3" t="e">
        <f t="shared" si="1"/>
        <v>#DIV/0!</v>
      </c>
      <c r="I18" s="3"/>
      <c r="J18" s="2"/>
      <c r="K18" s="2"/>
      <c r="L18" s="2"/>
    </row>
    <row r="19" spans="1:12" x14ac:dyDescent="0.25">
      <c r="A19" s="4"/>
      <c r="B19" s="2"/>
      <c r="C19" s="6">
        <v>17</v>
      </c>
      <c r="D19" s="2"/>
      <c r="E19" s="2"/>
      <c r="F19" s="2"/>
      <c r="G19" s="2">
        <f t="shared" si="0"/>
        <v>0</v>
      </c>
      <c r="H19" s="3" t="e">
        <f t="shared" si="1"/>
        <v>#DIV/0!</v>
      </c>
      <c r="I19" s="3"/>
      <c r="J19" s="2"/>
      <c r="K19" s="2"/>
      <c r="L19" s="2"/>
    </row>
    <row r="20" spans="1:12" x14ac:dyDescent="0.25">
      <c r="A20" s="4"/>
      <c r="B20" s="2"/>
      <c r="C20" s="6">
        <v>18</v>
      </c>
      <c r="D20" s="2"/>
      <c r="E20" s="2"/>
      <c r="F20" s="2"/>
      <c r="G20" s="2">
        <f t="shared" si="0"/>
        <v>0</v>
      </c>
      <c r="H20" s="3" t="e">
        <f t="shared" si="1"/>
        <v>#DIV/0!</v>
      </c>
      <c r="I20" s="3"/>
      <c r="J20" s="2"/>
      <c r="K20" s="2"/>
      <c r="L20" s="2"/>
    </row>
    <row r="21" spans="1:12" x14ac:dyDescent="0.25">
      <c r="D21">
        <f>SUM(D3:D20)</f>
        <v>159</v>
      </c>
      <c r="I21" s="1">
        <f>SUM(I3:I20)</f>
        <v>1088</v>
      </c>
      <c r="K21">
        <f>SUM(K3:K20)</f>
        <v>0</v>
      </c>
      <c r="L21">
        <f>SUM(L3:L20)</f>
        <v>159</v>
      </c>
    </row>
    <row r="22" spans="1:12" x14ac:dyDescent="0.25">
      <c r="A22" t="s">
        <v>29</v>
      </c>
      <c r="B22">
        <f>SUM(Janv!B22+Fév!D21)</f>
        <v>378</v>
      </c>
      <c r="H22" s="1">
        <f>SUM(Janv!H22+Fév!I21)</f>
        <v>2227</v>
      </c>
      <c r="K22">
        <f>SUM(Janv!K22+Fév!K21)</f>
        <v>0</v>
      </c>
      <c r="L22">
        <f>SUM(Janv!L22+Fév!L21)</f>
        <v>378</v>
      </c>
    </row>
    <row r="23" spans="1:12" x14ac:dyDescent="0.25">
      <c r="J23" t="s">
        <v>22</v>
      </c>
      <c r="K23">
        <v>1843</v>
      </c>
      <c r="L23">
        <v>9688</v>
      </c>
    </row>
    <row r="24" spans="1:12" x14ac:dyDescent="0.25">
      <c r="J24" t="s">
        <v>24</v>
      </c>
      <c r="K24">
        <v>2920</v>
      </c>
      <c r="L24">
        <v>6089</v>
      </c>
    </row>
    <row r="25" spans="1:12" x14ac:dyDescent="0.25">
      <c r="J25" t="s">
        <v>25</v>
      </c>
      <c r="K25">
        <v>7538</v>
      </c>
      <c r="L25">
        <v>3488</v>
      </c>
    </row>
    <row r="26" spans="1:12" x14ac:dyDescent="0.25">
      <c r="J26" t="s">
        <v>27</v>
      </c>
      <c r="K26">
        <v>624</v>
      </c>
      <c r="L26">
        <v>4941</v>
      </c>
    </row>
    <row r="27" spans="1:12" x14ac:dyDescent="0.25">
      <c r="J27" t="s">
        <v>30</v>
      </c>
      <c r="K27">
        <v>289</v>
      </c>
      <c r="L27">
        <v>6903</v>
      </c>
    </row>
    <row r="28" spans="1:12" x14ac:dyDescent="0.25">
      <c r="J28" t="s">
        <v>31</v>
      </c>
    </row>
    <row r="30" spans="1:12" x14ac:dyDescent="0.25">
      <c r="J30" t="s">
        <v>23</v>
      </c>
      <c r="K30">
        <f>SUM(K23:K29)</f>
        <v>13214</v>
      </c>
      <c r="L30">
        <f>SUM(L23:L29)</f>
        <v>31109</v>
      </c>
    </row>
  </sheetData>
  <mergeCells count="2">
    <mergeCell ref="E2:G2"/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3"/>
  <sheetViews>
    <sheetView workbookViewId="0">
      <selection activeCell="L12" sqref="L12"/>
    </sheetView>
  </sheetViews>
  <sheetFormatPr baseColWidth="10" defaultRowHeight="15" x14ac:dyDescent="0.25"/>
  <cols>
    <col min="1" max="1" width="12.28515625" customWidth="1"/>
    <col min="2" max="2" width="34.28515625" customWidth="1"/>
    <col min="3" max="3" width="4" customWidth="1"/>
    <col min="4" max="4" width="12" customWidth="1"/>
    <col min="5" max="5" width="5.7109375" customWidth="1"/>
    <col min="6" max="6" width="5.85546875" customWidth="1"/>
    <col min="7" max="7" width="5.7109375" customWidth="1"/>
    <col min="8" max="9" width="11.42578125" style="1"/>
    <col min="10" max="10" width="18.5703125" customWidth="1"/>
    <col min="11" max="12" width="8.85546875" customWidth="1"/>
  </cols>
  <sheetData>
    <row r="1" spans="1:12" ht="27" thickBot="1" x14ac:dyDescent="0.45">
      <c r="A1" s="55" t="s">
        <v>9</v>
      </c>
      <c r="B1" s="55"/>
      <c r="C1" s="55"/>
      <c r="D1" s="55"/>
      <c r="E1" s="55"/>
      <c r="F1" s="55"/>
      <c r="G1" s="55"/>
      <c r="H1" s="13">
        <f>SUM(Janv!H1)</f>
        <v>2026</v>
      </c>
      <c r="I1" s="13"/>
      <c r="J1" s="13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54" t="s">
        <v>3</v>
      </c>
      <c r="F2" s="54"/>
      <c r="G2" s="54"/>
      <c r="H2" s="10" t="s">
        <v>4</v>
      </c>
      <c r="I2" s="16" t="s">
        <v>19</v>
      </c>
      <c r="J2" s="11" t="s">
        <v>5</v>
      </c>
      <c r="K2" s="33" t="s">
        <v>20</v>
      </c>
      <c r="L2" s="34" t="s">
        <v>21</v>
      </c>
    </row>
    <row r="3" spans="1:12" x14ac:dyDescent="0.25">
      <c r="A3" s="5">
        <v>46082</v>
      </c>
      <c r="B3" s="56" t="s">
        <v>36</v>
      </c>
      <c r="C3" s="6">
        <v>1</v>
      </c>
      <c r="D3" s="6">
        <v>68</v>
      </c>
      <c r="E3" s="6">
        <v>3</v>
      </c>
      <c r="F3" s="6">
        <v>14</v>
      </c>
      <c r="G3" s="6">
        <f>SUM(E3*60+F3)</f>
        <v>194</v>
      </c>
      <c r="H3" s="7">
        <f>SUM(D3/G3*60)</f>
        <v>21.030927835051546</v>
      </c>
      <c r="I3" s="7">
        <v>308</v>
      </c>
      <c r="J3" s="6"/>
      <c r="K3" s="6"/>
      <c r="L3" s="6">
        <v>68</v>
      </c>
    </row>
    <row r="4" spans="1:12" x14ac:dyDescent="0.25">
      <c r="A4" s="4">
        <v>46083</v>
      </c>
      <c r="B4" s="56" t="s">
        <v>37</v>
      </c>
      <c r="C4" s="6">
        <v>2</v>
      </c>
      <c r="D4" s="2">
        <v>20</v>
      </c>
      <c r="E4" s="2">
        <v>1</v>
      </c>
      <c r="F4" s="2">
        <v>9</v>
      </c>
      <c r="G4" s="2">
        <f t="shared" ref="G4:G23" si="0">SUM(E4*60+F4)</f>
        <v>69</v>
      </c>
      <c r="H4" s="3">
        <f t="shared" ref="H4:H23" si="1">SUM(D4/G4*60)</f>
        <v>17.391304347826086</v>
      </c>
      <c r="I4" s="7">
        <v>23</v>
      </c>
      <c r="J4" s="2"/>
      <c r="K4" s="2"/>
      <c r="L4" s="2">
        <v>20</v>
      </c>
    </row>
    <row r="5" spans="1:12" x14ac:dyDescent="0.25">
      <c r="A5" s="4">
        <v>46084</v>
      </c>
      <c r="B5" s="56" t="s">
        <v>38</v>
      </c>
      <c r="C5" s="6">
        <v>3</v>
      </c>
      <c r="D5" s="2">
        <v>124</v>
      </c>
      <c r="E5" s="2">
        <v>5</v>
      </c>
      <c r="F5" s="2">
        <v>25</v>
      </c>
      <c r="G5" s="2">
        <f t="shared" si="0"/>
        <v>325</v>
      </c>
      <c r="H5" s="3">
        <f t="shared" si="1"/>
        <v>22.892307692307693</v>
      </c>
      <c r="I5" s="3">
        <v>723</v>
      </c>
      <c r="J5" s="2"/>
      <c r="K5" s="2"/>
      <c r="L5" s="2">
        <v>124</v>
      </c>
    </row>
    <row r="6" spans="1:12" x14ac:dyDescent="0.25">
      <c r="A6" s="4">
        <v>46086</v>
      </c>
      <c r="B6" s="56" t="s">
        <v>39</v>
      </c>
      <c r="C6" s="6">
        <v>4</v>
      </c>
      <c r="D6" s="2">
        <v>121</v>
      </c>
      <c r="E6" s="2">
        <v>4</v>
      </c>
      <c r="F6" s="2">
        <v>57</v>
      </c>
      <c r="G6" s="2">
        <f t="shared" si="0"/>
        <v>297</v>
      </c>
      <c r="H6" s="3">
        <f t="shared" si="1"/>
        <v>24.444444444444443</v>
      </c>
      <c r="I6" s="3">
        <v>752</v>
      </c>
      <c r="J6" s="2"/>
      <c r="K6" s="2"/>
      <c r="L6" s="2">
        <v>121</v>
      </c>
    </row>
    <row r="7" spans="1:12" x14ac:dyDescent="0.25">
      <c r="A7" s="4">
        <v>46088</v>
      </c>
      <c r="B7" s="56" t="s">
        <v>40</v>
      </c>
      <c r="C7" s="6">
        <v>5</v>
      </c>
      <c r="D7" s="2">
        <v>65</v>
      </c>
      <c r="E7" s="2">
        <v>0</v>
      </c>
      <c r="F7" s="2">
        <v>46</v>
      </c>
      <c r="G7" s="2">
        <f t="shared" si="0"/>
        <v>46</v>
      </c>
      <c r="H7" s="3">
        <f t="shared" si="1"/>
        <v>84.782608695652172</v>
      </c>
      <c r="I7" s="3">
        <v>231</v>
      </c>
      <c r="J7" s="2"/>
      <c r="K7" s="2"/>
      <c r="L7" s="2">
        <v>65</v>
      </c>
    </row>
    <row r="8" spans="1:12" x14ac:dyDescent="0.25">
      <c r="A8" s="4">
        <v>46090</v>
      </c>
      <c r="B8" s="56" t="s">
        <v>41</v>
      </c>
      <c r="C8" s="6">
        <v>6</v>
      </c>
      <c r="D8" s="2">
        <v>28</v>
      </c>
      <c r="E8" s="2">
        <v>1</v>
      </c>
      <c r="F8" s="2">
        <v>19</v>
      </c>
      <c r="G8" s="2">
        <f t="shared" si="0"/>
        <v>79</v>
      </c>
      <c r="H8" s="3">
        <f t="shared" si="1"/>
        <v>21.265822784810126</v>
      </c>
      <c r="I8" s="3">
        <v>68</v>
      </c>
      <c r="J8" s="2"/>
      <c r="K8" s="2"/>
      <c r="L8" s="2">
        <v>28</v>
      </c>
    </row>
    <row r="9" spans="1:12" x14ac:dyDescent="0.25">
      <c r="A9" s="4">
        <v>46091</v>
      </c>
      <c r="B9" s="58" t="s">
        <v>42</v>
      </c>
      <c r="C9" s="6">
        <v>7</v>
      </c>
      <c r="D9" s="2">
        <v>116</v>
      </c>
      <c r="E9" s="2">
        <v>4</v>
      </c>
      <c r="F9" s="2">
        <v>41</v>
      </c>
      <c r="G9" s="2">
        <f t="shared" si="0"/>
        <v>281</v>
      </c>
      <c r="H9" s="3">
        <f t="shared" si="1"/>
        <v>24.768683274021353</v>
      </c>
      <c r="I9" s="3">
        <v>499</v>
      </c>
      <c r="J9" s="2"/>
      <c r="K9" s="2"/>
      <c r="L9" s="2">
        <v>116</v>
      </c>
    </row>
    <row r="10" spans="1:12" x14ac:dyDescent="0.25">
      <c r="A10" s="4">
        <v>46093</v>
      </c>
      <c r="B10" s="56" t="s">
        <v>43</v>
      </c>
      <c r="C10" s="6">
        <v>8</v>
      </c>
      <c r="D10" s="2">
        <v>113</v>
      </c>
      <c r="E10" s="2">
        <v>4</v>
      </c>
      <c r="F10" s="2">
        <v>45</v>
      </c>
      <c r="G10" s="2">
        <f t="shared" si="0"/>
        <v>285</v>
      </c>
      <c r="H10" s="3">
        <f t="shared" si="1"/>
        <v>23.789473684210527</v>
      </c>
      <c r="I10" s="7">
        <v>686</v>
      </c>
      <c r="J10" s="2"/>
      <c r="K10" s="2"/>
      <c r="L10" s="2">
        <v>113</v>
      </c>
    </row>
    <row r="11" spans="1:12" x14ac:dyDescent="0.25">
      <c r="A11" s="4">
        <v>46093</v>
      </c>
      <c r="B11" s="56" t="s">
        <v>44</v>
      </c>
      <c r="C11" s="6">
        <v>9</v>
      </c>
      <c r="D11" s="2">
        <v>14</v>
      </c>
      <c r="E11" s="2"/>
      <c r="F11" s="2">
        <v>35</v>
      </c>
      <c r="G11" s="2">
        <f t="shared" si="0"/>
        <v>35</v>
      </c>
      <c r="H11" s="3">
        <f t="shared" si="1"/>
        <v>24</v>
      </c>
      <c r="I11" s="3">
        <v>68</v>
      </c>
      <c r="J11" s="2"/>
      <c r="K11" s="2"/>
      <c r="L11" s="2">
        <v>14</v>
      </c>
    </row>
    <row r="12" spans="1:12" x14ac:dyDescent="0.25">
      <c r="A12" s="4"/>
      <c r="B12" s="2"/>
      <c r="C12" s="6">
        <v>10</v>
      </c>
      <c r="D12" s="2"/>
      <c r="E12" s="2"/>
      <c r="F12" s="2"/>
      <c r="G12" s="2">
        <f t="shared" si="0"/>
        <v>0</v>
      </c>
      <c r="H12" s="3" t="e">
        <f t="shared" si="1"/>
        <v>#DIV/0!</v>
      </c>
      <c r="I12" s="3"/>
      <c r="J12" s="2"/>
      <c r="K12" s="2"/>
      <c r="L12" s="2"/>
    </row>
    <row r="13" spans="1:12" x14ac:dyDescent="0.25">
      <c r="A13" s="4"/>
      <c r="B13" s="2"/>
      <c r="C13" s="6">
        <v>11</v>
      </c>
      <c r="D13" s="2"/>
      <c r="E13" s="2"/>
      <c r="F13" s="2"/>
      <c r="G13" s="2">
        <f t="shared" si="0"/>
        <v>0</v>
      </c>
      <c r="H13" s="3" t="e">
        <f t="shared" si="1"/>
        <v>#DIV/0!</v>
      </c>
      <c r="I13" s="3"/>
      <c r="J13" s="2"/>
      <c r="K13" s="2"/>
      <c r="L13" s="2"/>
    </row>
    <row r="14" spans="1:12" x14ac:dyDescent="0.25">
      <c r="A14" s="4"/>
      <c r="B14" s="2"/>
      <c r="C14" s="6">
        <v>12</v>
      </c>
      <c r="D14" s="2"/>
      <c r="E14" s="2"/>
      <c r="F14" s="2"/>
      <c r="G14" s="2">
        <f t="shared" si="0"/>
        <v>0</v>
      </c>
      <c r="H14" s="3" t="e">
        <f t="shared" si="1"/>
        <v>#DIV/0!</v>
      </c>
      <c r="I14" s="3"/>
      <c r="J14" s="2"/>
      <c r="K14" s="2"/>
      <c r="L14" s="2"/>
    </row>
    <row r="15" spans="1:12" x14ac:dyDescent="0.25">
      <c r="A15" s="4"/>
      <c r="B15" s="2"/>
      <c r="C15" s="6">
        <v>13</v>
      </c>
      <c r="D15" s="2"/>
      <c r="E15" s="2"/>
      <c r="F15" s="2"/>
      <c r="G15" s="2">
        <f t="shared" si="0"/>
        <v>0</v>
      </c>
      <c r="H15" s="3" t="e">
        <f t="shared" si="1"/>
        <v>#DIV/0!</v>
      </c>
      <c r="I15" s="3"/>
      <c r="J15" s="6"/>
      <c r="K15" s="2"/>
      <c r="L15" s="2"/>
    </row>
    <row r="16" spans="1:12" x14ac:dyDescent="0.25">
      <c r="A16" s="4"/>
      <c r="B16" s="2"/>
      <c r="C16" s="6">
        <v>14</v>
      </c>
      <c r="D16" s="2"/>
      <c r="E16" s="2"/>
      <c r="F16" s="2"/>
      <c r="G16" s="2">
        <f t="shared" si="0"/>
        <v>0</v>
      </c>
      <c r="H16" s="3" t="e">
        <f t="shared" si="1"/>
        <v>#DIV/0!</v>
      </c>
      <c r="I16" s="3"/>
      <c r="J16" s="2"/>
      <c r="K16" s="2"/>
      <c r="L16" s="2"/>
    </row>
    <row r="17" spans="1:12" x14ac:dyDescent="0.25">
      <c r="A17" s="4"/>
      <c r="B17" s="2"/>
      <c r="C17" s="6">
        <v>15</v>
      </c>
      <c r="D17" s="2"/>
      <c r="E17" s="2"/>
      <c r="F17" s="2"/>
      <c r="G17" s="2">
        <f t="shared" si="0"/>
        <v>0</v>
      </c>
      <c r="H17" s="3" t="e">
        <f t="shared" si="1"/>
        <v>#DIV/0!</v>
      </c>
      <c r="I17" s="3"/>
      <c r="J17" s="2"/>
      <c r="K17" s="2"/>
      <c r="L17" s="2"/>
    </row>
    <row r="18" spans="1:12" x14ac:dyDescent="0.25">
      <c r="A18" s="4"/>
      <c r="B18" s="2"/>
      <c r="C18" s="6">
        <v>16</v>
      </c>
      <c r="D18" s="2"/>
      <c r="E18" s="2"/>
      <c r="F18" s="2"/>
      <c r="G18" s="2">
        <f t="shared" si="0"/>
        <v>0</v>
      </c>
      <c r="H18" s="3" t="e">
        <f t="shared" si="1"/>
        <v>#DIV/0!</v>
      </c>
      <c r="I18" s="3"/>
      <c r="J18" s="2"/>
      <c r="K18" s="2"/>
      <c r="L18" s="2"/>
    </row>
    <row r="19" spans="1:12" x14ac:dyDescent="0.25">
      <c r="A19" s="4"/>
      <c r="B19" s="2"/>
      <c r="C19" s="6">
        <v>17</v>
      </c>
      <c r="D19" s="2"/>
      <c r="E19" s="2"/>
      <c r="F19" s="2"/>
      <c r="G19" s="2">
        <f t="shared" si="0"/>
        <v>0</v>
      </c>
      <c r="H19" s="3" t="e">
        <f t="shared" si="1"/>
        <v>#DIV/0!</v>
      </c>
      <c r="I19" s="3"/>
      <c r="J19" s="2"/>
      <c r="K19" s="2"/>
      <c r="L19" s="2"/>
    </row>
    <row r="20" spans="1:12" x14ac:dyDescent="0.25">
      <c r="A20" s="4"/>
      <c r="B20" s="2"/>
      <c r="C20" s="6">
        <v>18</v>
      </c>
      <c r="D20" s="2"/>
      <c r="E20" s="2"/>
      <c r="F20" s="2"/>
      <c r="G20" s="2">
        <f t="shared" si="0"/>
        <v>0</v>
      </c>
      <c r="H20" s="3" t="e">
        <f t="shared" si="1"/>
        <v>#DIV/0!</v>
      </c>
      <c r="I20" s="3"/>
      <c r="J20" s="2"/>
      <c r="K20" s="2"/>
      <c r="L20" s="2"/>
    </row>
    <row r="21" spans="1:12" x14ac:dyDescent="0.25">
      <c r="A21" s="4"/>
      <c r="B21" s="2"/>
      <c r="C21" s="6">
        <v>19</v>
      </c>
      <c r="D21" s="2"/>
      <c r="E21" s="2"/>
      <c r="F21" s="2"/>
      <c r="G21" s="2">
        <f t="shared" si="0"/>
        <v>0</v>
      </c>
      <c r="H21" s="3" t="e">
        <f t="shared" si="1"/>
        <v>#DIV/0!</v>
      </c>
      <c r="I21" s="3"/>
      <c r="J21" s="2"/>
      <c r="K21" s="2"/>
      <c r="L21" s="2"/>
    </row>
    <row r="22" spans="1:12" x14ac:dyDescent="0.25">
      <c r="A22" s="4"/>
      <c r="B22" s="2"/>
      <c r="C22" s="6">
        <v>20</v>
      </c>
      <c r="D22" s="2"/>
      <c r="E22" s="2"/>
      <c r="F22" s="2"/>
      <c r="G22" s="2">
        <f t="shared" si="0"/>
        <v>0</v>
      </c>
      <c r="H22" s="3" t="e">
        <f t="shared" si="1"/>
        <v>#DIV/0!</v>
      </c>
      <c r="I22" s="3"/>
      <c r="J22" s="2"/>
      <c r="K22" s="2"/>
      <c r="L22" s="2"/>
    </row>
    <row r="23" spans="1:12" x14ac:dyDescent="0.25">
      <c r="A23" s="4"/>
      <c r="B23" s="2"/>
      <c r="C23" s="2">
        <v>21</v>
      </c>
      <c r="D23" s="2"/>
      <c r="E23" s="2"/>
      <c r="F23" s="2"/>
      <c r="G23" s="2">
        <f t="shared" si="0"/>
        <v>0</v>
      </c>
      <c r="H23" s="3" t="e">
        <f t="shared" si="1"/>
        <v>#DIV/0!</v>
      </c>
      <c r="I23" s="3"/>
      <c r="J23" s="2"/>
      <c r="K23" s="2"/>
      <c r="L23" s="2"/>
    </row>
    <row r="24" spans="1:12" x14ac:dyDescent="0.25">
      <c r="D24">
        <f>SUM(D3:D23)</f>
        <v>669</v>
      </c>
      <c r="I24" s="1">
        <f>SUM(I3:I23)</f>
        <v>3358</v>
      </c>
      <c r="K24">
        <f>SUM(K3:K23)</f>
        <v>0</v>
      </c>
      <c r="L24">
        <f>SUM(L3:L23)</f>
        <v>669</v>
      </c>
    </row>
    <row r="25" spans="1:12" x14ac:dyDescent="0.25">
      <c r="A25" t="s">
        <v>29</v>
      </c>
      <c r="B25">
        <f>SUM(Fév!B22+Mar!D24)</f>
        <v>1047</v>
      </c>
      <c r="H25" s="1">
        <f>SUM(Janv!H22+Fév!I21)</f>
        <v>2227</v>
      </c>
      <c r="K25">
        <f>SUM(Fév!K22+Mar!K24)</f>
        <v>0</v>
      </c>
      <c r="L25">
        <f>SUM(Fév!L22+Mar!L24)</f>
        <v>1047</v>
      </c>
    </row>
    <row r="26" spans="1:12" x14ac:dyDescent="0.25">
      <c r="J26" t="s">
        <v>22</v>
      </c>
      <c r="K26">
        <v>1843</v>
      </c>
      <c r="L26">
        <v>9688</v>
      </c>
    </row>
    <row r="27" spans="1:12" x14ac:dyDescent="0.25">
      <c r="J27" t="s">
        <v>24</v>
      </c>
      <c r="K27">
        <v>2920</v>
      </c>
      <c r="L27">
        <v>6089</v>
      </c>
    </row>
    <row r="28" spans="1:12" x14ac:dyDescent="0.25">
      <c r="J28" t="s">
        <v>25</v>
      </c>
      <c r="K28">
        <v>7538</v>
      </c>
      <c r="L28">
        <v>3488</v>
      </c>
    </row>
    <row r="29" spans="1:12" x14ac:dyDescent="0.25">
      <c r="J29" t="s">
        <v>27</v>
      </c>
      <c r="K29">
        <v>624</v>
      </c>
      <c r="L29">
        <v>4941</v>
      </c>
    </row>
    <row r="30" spans="1:12" x14ac:dyDescent="0.25">
      <c r="J30" t="s">
        <v>30</v>
      </c>
      <c r="K30">
        <v>289</v>
      </c>
      <c r="L30">
        <v>6903</v>
      </c>
    </row>
    <row r="31" spans="1:12" x14ac:dyDescent="0.25">
      <c r="J31" t="s">
        <v>31</v>
      </c>
    </row>
    <row r="33" spans="10:12" x14ac:dyDescent="0.25">
      <c r="J33" t="s">
        <v>23</v>
      </c>
      <c r="K33">
        <f>SUM(K26:K32)</f>
        <v>13214</v>
      </c>
      <c r="L33">
        <f>SUM(L26:L32)</f>
        <v>31109</v>
      </c>
    </row>
  </sheetData>
  <mergeCells count="2">
    <mergeCell ref="E2:G2"/>
    <mergeCell ref="A1:G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3"/>
  <sheetViews>
    <sheetView workbookViewId="0">
      <selection activeCell="I3" sqref="I3:L11"/>
    </sheetView>
  </sheetViews>
  <sheetFormatPr baseColWidth="10" defaultRowHeight="15" x14ac:dyDescent="0.25"/>
  <cols>
    <col min="1" max="1" width="12.28515625" customWidth="1"/>
    <col min="2" max="2" width="34.28515625" customWidth="1"/>
    <col min="3" max="3" width="4" customWidth="1"/>
    <col min="4" max="4" width="12" customWidth="1"/>
    <col min="5" max="5" width="5.7109375" customWidth="1"/>
    <col min="6" max="6" width="5.85546875" customWidth="1"/>
    <col min="7" max="7" width="5.7109375" customWidth="1"/>
    <col min="8" max="8" width="11.42578125" style="1"/>
    <col min="9" max="9" width="7.85546875" style="1" customWidth="1"/>
    <col min="10" max="10" width="20.140625" customWidth="1"/>
    <col min="11" max="11" width="8.28515625" customWidth="1"/>
    <col min="12" max="12" width="8" customWidth="1"/>
  </cols>
  <sheetData>
    <row r="1" spans="1:12" ht="27" thickBot="1" x14ac:dyDescent="0.45">
      <c r="A1" s="55" t="s">
        <v>10</v>
      </c>
      <c r="B1" s="55"/>
      <c r="C1" s="55"/>
      <c r="D1" s="55"/>
      <c r="E1" s="55"/>
      <c r="F1" s="55"/>
      <c r="G1" s="55"/>
      <c r="H1" s="13">
        <f>SUM(Janv!H1)</f>
        <v>2026</v>
      </c>
      <c r="I1" s="13"/>
      <c r="J1" s="13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54" t="s">
        <v>3</v>
      </c>
      <c r="F2" s="54"/>
      <c r="G2" s="54"/>
      <c r="H2" s="10" t="s">
        <v>4</v>
      </c>
      <c r="I2" s="16" t="s">
        <v>19</v>
      </c>
      <c r="J2" s="11" t="s">
        <v>5</v>
      </c>
      <c r="K2" s="33" t="s">
        <v>20</v>
      </c>
      <c r="L2" s="34" t="s">
        <v>21</v>
      </c>
    </row>
    <row r="3" spans="1:12" x14ac:dyDescent="0.25">
      <c r="A3" s="5"/>
      <c r="B3" s="45"/>
      <c r="C3" s="6">
        <v>1</v>
      </c>
      <c r="D3" s="6"/>
      <c r="E3" s="6"/>
      <c r="F3" s="6"/>
      <c r="G3" s="6">
        <f>SUM(E3*60+F3)</f>
        <v>0</v>
      </c>
      <c r="H3" s="7" t="e">
        <f>SUM(D3/G3*60)</f>
        <v>#DIV/0!</v>
      </c>
      <c r="I3" s="7"/>
      <c r="J3" s="6"/>
      <c r="K3" s="6"/>
      <c r="L3" s="6"/>
    </row>
    <row r="4" spans="1:12" x14ac:dyDescent="0.25">
      <c r="A4" s="4"/>
      <c r="B4" s="46"/>
      <c r="C4" s="6">
        <v>2</v>
      </c>
      <c r="D4" s="2"/>
      <c r="E4" s="2"/>
      <c r="F4" s="2"/>
      <c r="G4" s="2">
        <f t="shared" ref="G4:G23" si="0">SUM(E4*60+F4)</f>
        <v>0</v>
      </c>
      <c r="H4" s="3" t="e">
        <f t="shared" ref="H4:H23" si="1">SUM(D4/G4*60)</f>
        <v>#DIV/0!</v>
      </c>
      <c r="I4" s="7"/>
      <c r="J4" s="2"/>
      <c r="K4" s="2"/>
      <c r="L4" s="2"/>
    </row>
    <row r="5" spans="1:12" x14ac:dyDescent="0.25">
      <c r="A5" s="4"/>
      <c r="B5" s="46"/>
      <c r="C5" s="6">
        <v>3</v>
      </c>
      <c r="D5" s="2"/>
      <c r="E5" s="2"/>
      <c r="F5" s="2"/>
      <c r="G5" s="2">
        <f t="shared" si="0"/>
        <v>0</v>
      </c>
      <c r="H5" s="3" t="e">
        <f t="shared" si="1"/>
        <v>#DIV/0!</v>
      </c>
      <c r="I5" s="3"/>
      <c r="J5" s="2"/>
      <c r="K5" s="2"/>
      <c r="L5" s="2"/>
    </row>
    <row r="6" spans="1:12" x14ac:dyDescent="0.25">
      <c r="A6" s="4"/>
      <c r="B6" s="45"/>
      <c r="C6" s="6">
        <v>4</v>
      </c>
      <c r="D6" s="2"/>
      <c r="E6" s="2"/>
      <c r="F6" s="2"/>
      <c r="G6" s="2">
        <f t="shared" si="0"/>
        <v>0</v>
      </c>
      <c r="H6" s="3" t="e">
        <f t="shared" si="1"/>
        <v>#DIV/0!</v>
      </c>
      <c r="I6" s="3"/>
      <c r="J6" s="2"/>
      <c r="K6" s="2"/>
      <c r="L6" s="2"/>
    </row>
    <row r="7" spans="1:12" ht="15.75" x14ac:dyDescent="0.25">
      <c r="A7" s="4"/>
      <c r="B7" s="47"/>
      <c r="C7" s="6">
        <v>5</v>
      </c>
      <c r="D7" s="2"/>
      <c r="E7" s="2"/>
      <c r="F7" s="2"/>
      <c r="G7" s="2">
        <f t="shared" si="0"/>
        <v>0</v>
      </c>
      <c r="H7" s="3" t="e">
        <f t="shared" si="1"/>
        <v>#DIV/0!</v>
      </c>
      <c r="I7" s="3"/>
      <c r="J7" s="2"/>
      <c r="K7" s="2"/>
      <c r="L7" s="2"/>
    </row>
    <row r="8" spans="1:12" x14ac:dyDescent="0.25">
      <c r="A8" s="4"/>
      <c r="B8" s="2"/>
      <c r="C8" s="6">
        <v>6</v>
      </c>
      <c r="D8" s="2"/>
      <c r="E8" s="2"/>
      <c r="F8" s="2"/>
      <c r="G8" s="2">
        <f t="shared" si="0"/>
        <v>0</v>
      </c>
      <c r="H8" s="3" t="e">
        <f t="shared" si="1"/>
        <v>#DIV/0!</v>
      </c>
      <c r="I8" s="3"/>
      <c r="J8" s="2"/>
      <c r="K8" s="2"/>
      <c r="L8" s="2"/>
    </row>
    <row r="9" spans="1:12" x14ac:dyDescent="0.25">
      <c r="A9" s="4"/>
      <c r="B9" s="46"/>
      <c r="C9" s="6">
        <v>7</v>
      </c>
      <c r="D9" s="2"/>
      <c r="E9" s="2"/>
      <c r="F9" s="2"/>
      <c r="G9" s="2">
        <f t="shared" si="0"/>
        <v>0</v>
      </c>
      <c r="H9" s="3" t="e">
        <f t="shared" si="1"/>
        <v>#DIV/0!</v>
      </c>
      <c r="I9" s="3"/>
      <c r="J9" s="2"/>
      <c r="K9" s="2"/>
      <c r="L9" s="2"/>
    </row>
    <row r="10" spans="1:12" x14ac:dyDescent="0.25">
      <c r="A10" s="4"/>
      <c r="B10" s="46"/>
      <c r="C10" s="6">
        <v>8</v>
      </c>
      <c r="D10" s="2"/>
      <c r="E10" s="2"/>
      <c r="F10" s="2"/>
      <c r="G10" s="2">
        <f t="shared" si="0"/>
        <v>0</v>
      </c>
      <c r="H10" s="3" t="e">
        <f t="shared" si="1"/>
        <v>#DIV/0!</v>
      </c>
      <c r="I10" s="7"/>
      <c r="J10" s="2"/>
      <c r="K10" s="2"/>
      <c r="L10" s="2"/>
    </row>
    <row r="11" spans="1:12" x14ac:dyDescent="0.25">
      <c r="A11" s="4"/>
      <c r="B11" s="46"/>
      <c r="C11" s="6">
        <v>9</v>
      </c>
      <c r="D11" s="2"/>
      <c r="E11" s="2"/>
      <c r="F11" s="2"/>
      <c r="G11" s="2">
        <f t="shared" si="0"/>
        <v>0</v>
      </c>
      <c r="H11" s="3" t="e">
        <f t="shared" si="1"/>
        <v>#DIV/0!</v>
      </c>
      <c r="I11" s="3"/>
      <c r="J11" s="2"/>
      <c r="K11" s="2"/>
      <c r="L11" s="2"/>
    </row>
    <row r="12" spans="1:12" x14ac:dyDescent="0.25">
      <c r="A12" s="4"/>
      <c r="B12" s="2"/>
      <c r="C12" s="6">
        <v>10</v>
      </c>
      <c r="D12" s="2"/>
      <c r="E12" s="2"/>
      <c r="F12" s="2"/>
      <c r="G12" s="2">
        <f t="shared" si="0"/>
        <v>0</v>
      </c>
      <c r="H12" s="3" t="e">
        <f t="shared" si="1"/>
        <v>#DIV/0!</v>
      </c>
      <c r="I12" s="3"/>
      <c r="J12" s="2"/>
      <c r="K12" s="2"/>
      <c r="L12" s="2"/>
    </row>
    <row r="13" spans="1:12" x14ac:dyDescent="0.25">
      <c r="A13" s="4"/>
      <c r="B13" s="2"/>
      <c r="C13" s="6">
        <v>11</v>
      </c>
      <c r="D13" s="2"/>
      <c r="E13" s="2"/>
      <c r="F13" s="2"/>
      <c r="G13" s="2">
        <f t="shared" si="0"/>
        <v>0</v>
      </c>
      <c r="H13" s="3" t="e">
        <f t="shared" si="1"/>
        <v>#DIV/0!</v>
      </c>
      <c r="I13" s="3"/>
      <c r="J13" s="2"/>
      <c r="K13" s="2"/>
      <c r="L13" s="2"/>
    </row>
    <row r="14" spans="1:12" x14ac:dyDescent="0.25">
      <c r="A14" s="4"/>
      <c r="B14" s="2"/>
      <c r="C14" s="6">
        <v>12</v>
      </c>
      <c r="D14" s="2"/>
      <c r="E14" s="2"/>
      <c r="F14" s="2"/>
      <c r="G14" s="2">
        <f t="shared" si="0"/>
        <v>0</v>
      </c>
      <c r="H14" s="3" t="e">
        <f t="shared" si="1"/>
        <v>#DIV/0!</v>
      </c>
      <c r="I14" s="3"/>
      <c r="J14" s="2"/>
      <c r="K14" s="2"/>
      <c r="L14" s="2"/>
    </row>
    <row r="15" spans="1:12" x14ac:dyDescent="0.25">
      <c r="A15" s="4"/>
      <c r="B15" s="2"/>
      <c r="C15" s="6">
        <v>13</v>
      </c>
      <c r="D15" s="2"/>
      <c r="E15" s="2"/>
      <c r="F15" s="2"/>
      <c r="G15" s="2">
        <f t="shared" si="0"/>
        <v>0</v>
      </c>
      <c r="H15" s="3" t="e">
        <f t="shared" si="1"/>
        <v>#DIV/0!</v>
      </c>
      <c r="I15" s="3"/>
      <c r="J15" s="2"/>
      <c r="K15" s="2"/>
      <c r="L15" s="2"/>
    </row>
    <row r="16" spans="1:12" x14ac:dyDescent="0.25">
      <c r="A16" s="4"/>
      <c r="B16" s="2"/>
      <c r="C16" s="6">
        <v>14</v>
      </c>
      <c r="D16" s="2"/>
      <c r="E16" s="2"/>
      <c r="F16" s="2"/>
      <c r="G16" s="2">
        <f t="shared" si="0"/>
        <v>0</v>
      </c>
      <c r="H16" s="3" t="e">
        <f t="shared" si="1"/>
        <v>#DIV/0!</v>
      </c>
      <c r="I16" s="3"/>
      <c r="J16" s="2"/>
      <c r="K16" s="2"/>
      <c r="L16" s="2"/>
    </row>
    <row r="17" spans="1:12" x14ac:dyDescent="0.25">
      <c r="A17" s="4"/>
      <c r="B17" s="2"/>
      <c r="C17" s="6">
        <v>15</v>
      </c>
      <c r="D17" s="2"/>
      <c r="E17" s="2"/>
      <c r="F17" s="2"/>
      <c r="G17" s="2">
        <f t="shared" si="0"/>
        <v>0</v>
      </c>
      <c r="H17" s="3" t="e">
        <f t="shared" si="1"/>
        <v>#DIV/0!</v>
      </c>
      <c r="I17" s="3"/>
      <c r="J17" s="2"/>
      <c r="K17" s="2"/>
      <c r="L17" s="2"/>
    </row>
    <row r="18" spans="1:12" x14ac:dyDescent="0.25">
      <c r="A18" s="4"/>
      <c r="B18" s="2"/>
      <c r="C18" s="6">
        <v>16</v>
      </c>
      <c r="D18" s="2"/>
      <c r="E18" s="2"/>
      <c r="F18" s="2"/>
      <c r="G18" s="2">
        <f t="shared" si="0"/>
        <v>0</v>
      </c>
      <c r="H18" s="3" t="e">
        <f t="shared" si="1"/>
        <v>#DIV/0!</v>
      </c>
      <c r="I18" s="3"/>
      <c r="J18" s="2"/>
      <c r="K18" s="2"/>
      <c r="L18" s="2"/>
    </row>
    <row r="19" spans="1:12" x14ac:dyDescent="0.25">
      <c r="A19" s="4"/>
      <c r="B19" s="2"/>
      <c r="C19" s="6">
        <v>17</v>
      </c>
      <c r="D19" s="2"/>
      <c r="E19" s="2"/>
      <c r="F19" s="2"/>
      <c r="G19" s="2">
        <f t="shared" si="0"/>
        <v>0</v>
      </c>
      <c r="H19" s="3" t="e">
        <f t="shared" si="1"/>
        <v>#DIV/0!</v>
      </c>
      <c r="I19" s="3"/>
      <c r="J19" s="2"/>
      <c r="K19" s="2"/>
      <c r="L19" s="2"/>
    </row>
    <row r="20" spans="1:12" x14ac:dyDescent="0.25">
      <c r="A20" s="4"/>
      <c r="B20" s="2"/>
      <c r="C20" s="6">
        <v>18</v>
      </c>
      <c r="D20" s="2"/>
      <c r="E20" s="2"/>
      <c r="F20" s="2"/>
      <c r="G20" s="2">
        <f t="shared" si="0"/>
        <v>0</v>
      </c>
      <c r="H20" s="3" t="e">
        <f t="shared" si="1"/>
        <v>#DIV/0!</v>
      </c>
      <c r="I20" s="3"/>
      <c r="J20" s="2"/>
      <c r="K20" s="2"/>
      <c r="L20" s="2"/>
    </row>
    <row r="21" spans="1:12" x14ac:dyDescent="0.25">
      <c r="A21" s="4"/>
      <c r="B21" s="2"/>
      <c r="C21" s="6">
        <v>19</v>
      </c>
      <c r="D21" s="2"/>
      <c r="E21" s="2"/>
      <c r="F21" s="2"/>
      <c r="G21" s="2">
        <f t="shared" si="0"/>
        <v>0</v>
      </c>
      <c r="H21" s="3" t="e">
        <f t="shared" si="1"/>
        <v>#DIV/0!</v>
      </c>
      <c r="I21" s="3"/>
      <c r="J21" s="2"/>
      <c r="K21" s="2"/>
      <c r="L21" s="2"/>
    </row>
    <row r="22" spans="1:12" x14ac:dyDescent="0.25">
      <c r="A22" s="4"/>
      <c r="B22" s="2"/>
      <c r="C22" s="6">
        <v>20</v>
      </c>
      <c r="D22" s="2"/>
      <c r="E22" s="2"/>
      <c r="F22" s="2"/>
      <c r="G22" s="2">
        <f t="shared" si="0"/>
        <v>0</v>
      </c>
      <c r="H22" s="3" t="e">
        <f t="shared" si="1"/>
        <v>#DIV/0!</v>
      </c>
      <c r="I22" s="3"/>
      <c r="J22" s="2"/>
      <c r="K22" s="2"/>
      <c r="L22" s="2"/>
    </row>
    <row r="23" spans="1:12" x14ac:dyDescent="0.25">
      <c r="A23" s="4"/>
      <c r="B23" s="2"/>
      <c r="C23" s="2">
        <v>21</v>
      </c>
      <c r="D23" s="2"/>
      <c r="E23" s="2"/>
      <c r="F23" s="2"/>
      <c r="G23" s="2">
        <f t="shared" si="0"/>
        <v>0</v>
      </c>
      <c r="H23" s="3" t="e">
        <f t="shared" si="1"/>
        <v>#DIV/0!</v>
      </c>
      <c r="I23" s="3"/>
      <c r="J23" s="2"/>
      <c r="K23" s="2"/>
      <c r="L23" s="2"/>
    </row>
    <row r="24" spans="1:12" x14ac:dyDescent="0.25">
      <c r="D24">
        <f>SUM(D3:D23)</f>
        <v>0</v>
      </c>
      <c r="I24" s="1">
        <f>SUM(I3:I23)</f>
        <v>0</v>
      </c>
      <c r="K24">
        <f>SUM(K3:K23)</f>
        <v>0</v>
      </c>
      <c r="L24">
        <f>SUM(L3:L23)</f>
        <v>0</v>
      </c>
    </row>
    <row r="25" spans="1:12" x14ac:dyDescent="0.25">
      <c r="A25" t="s">
        <v>29</v>
      </c>
      <c r="B25">
        <f>SUM(Mar!B25+Avr!D24)</f>
        <v>1047</v>
      </c>
      <c r="H25" s="1">
        <f>SUM(Janv!H22+Fév!I21)</f>
        <v>2227</v>
      </c>
      <c r="K25">
        <f>SUM(Mar!K25+Avr!K24)</f>
        <v>0</v>
      </c>
      <c r="L25">
        <f>SUM(Mar!L25+Avr!L24)</f>
        <v>1047</v>
      </c>
    </row>
    <row r="26" spans="1:12" x14ac:dyDescent="0.25">
      <c r="J26" t="s">
        <v>22</v>
      </c>
      <c r="K26">
        <v>1843</v>
      </c>
      <c r="L26">
        <v>9688</v>
      </c>
    </row>
    <row r="27" spans="1:12" x14ac:dyDescent="0.25">
      <c r="J27" t="s">
        <v>24</v>
      </c>
      <c r="K27">
        <v>2920</v>
      </c>
      <c r="L27">
        <v>6089</v>
      </c>
    </row>
    <row r="28" spans="1:12" x14ac:dyDescent="0.25">
      <c r="J28" t="s">
        <v>25</v>
      </c>
      <c r="K28">
        <v>7538</v>
      </c>
      <c r="L28">
        <v>3488</v>
      </c>
    </row>
    <row r="29" spans="1:12" x14ac:dyDescent="0.25">
      <c r="J29" t="s">
        <v>27</v>
      </c>
      <c r="K29">
        <v>624</v>
      </c>
      <c r="L29">
        <v>4941</v>
      </c>
    </row>
    <row r="30" spans="1:12" x14ac:dyDescent="0.25">
      <c r="J30" t="s">
        <v>30</v>
      </c>
      <c r="K30">
        <v>289</v>
      </c>
      <c r="L30">
        <v>6903</v>
      </c>
    </row>
    <row r="31" spans="1:12" x14ac:dyDescent="0.25">
      <c r="J31" t="s">
        <v>31</v>
      </c>
    </row>
    <row r="33" spans="10:12" x14ac:dyDescent="0.25">
      <c r="J33" t="s">
        <v>23</v>
      </c>
      <c r="K33">
        <f>SUM(K26:K32)</f>
        <v>13214</v>
      </c>
      <c r="L33">
        <f>SUM(L26:L32)</f>
        <v>31109</v>
      </c>
    </row>
  </sheetData>
  <mergeCells count="2">
    <mergeCell ref="E2:G2"/>
    <mergeCell ref="A1:G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howOutlineSymbols="0"/>
  </sheetPr>
  <dimension ref="A1:L33"/>
  <sheetViews>
    <sheetView showOutlineSymbols="0" workbookViewId="0">
      <selection activeCell="I3" sqref="I3:L12"/>
    </sheetView>
  </sheetViews>
  <sheetFormatPr baseColWidth="10" defaultRowHeight="15" outlineLevelRow="1" outlineLevelCol="2" x14ac:dyDescent="0.25"/>
  <cols>
    <col min="1" max="1" width="12.42578125" customWidth="1"/>
    <col min="2" max="2" width="34.28515625" customWidth="1"/>
    <col min="3" max="3" width="4" customWidth="1"/>
    <col min="4" max="4" width="12" customWidth="1" outlineLevel="1"/>
    <col min="5" max="5" width="5.7109375" customWidth="1" outlineLevel="2"/>
    <col min="6" max="6" width="5.85546875" customWidth="1" outlineLevel="2"/>
    <col min="7" max="7" width="5.7109375" customWidth="1" outlineLevel="1"/>
    <col min="8" max="9" width="11.42578125" style="1"/>
    <col min="10" max="10" width="18.5703125" customWidth="1"/>
  </cols>
  <sheetData>
    <row r="1" spans="1:12" ht="27" thickBot="1" x14ac:dyDescent="0.45">
      <c r="A1" s="55" t="s">
        <v>11</v>
      </c>
      <c r="B1" s="55"/>
      <c r="C1" s="55"/>
      <c r="D1" s="55"/>
      <c r="E1" s="55"/>
      <c r="F1" s="55"/>
      <c r="G1" s="55"/>
      <c r="H1" s="13">
        <f>SUM(Janv!H1)</f>
        <v>2026</v>
      </c>
      <c r="I1" s="13"/>
      <c r="J1" s="13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54" t="s">
        <v>3</v>
      </c>
      <c r="F2" s="54"/>
      <c r="G2" s="54"/>
      <c r="H2" s="10" t="s">
        <v>4</v>
      </c>
      <c r="I2" s="16" t="s">
        <v>19</v>
      </c>
      <c r="J2" s="11" t="s">
        <v>5</v>
      </c>
      <c r="K2" s="33" t="s">
        <v>20</v>
      </c>
      <c r="L2" s="34" t="s">
        <v>21</v>
      </c>
    </row>
    <row r="3" spans="1:12" outlineLevel="1" x14ac:dyDescent="0.25">
      <c r="A3" s="5"/>
      <c r="B3" s="45"/>
      <c r="C3" s="6">
        <v>1</v>
      </c>
      <c r="D3" s="6"/>
      <c r="E3" s="6"/>
      <c r="F3" s="6"/>
      <c r="G3" s="6">
        <f>SUM(E3*60+F3)</f>
        <v>0</v>
      </c>
      <c r="H3" s="7" t="e">
        <f>SUM(D3/G3*60)</f>
        <v>#DIV/0!</v>
      </c>
      <c r="I3" s="7"/>
      <c r="J3" s="6"/>
      <c r="K3" s="6"/>
      <c r="L3" s="6"/>
    </row>
    <row r="4" spans="1:12" outlineLevel="1" x14ac:dyDescent="0.25">
      <c r="A4" s="4"/>
      <c r="B4" s="45"/>
      <c r="C4" s="6">
        <v>2</v>
      </c>
      <c r="D4" s="2"/>
      <c r="E4" s="2"/>
      <c r="F4" s="2"/>
      <c r="G4" s="2">
        <f t="shared" ref="G4:G23" si="0">SUM(E4*60+F4)</f>
        <v>0</v>
      </c>
      <c r="H4" s="3" t="e">
        <f t="shared" ref="H4:H23" si="1">SUM(D4/G4*60)</f>
        <v>#DIV/0!</v>
      </c>
      <c r="I4" s="7"/>
      <c r="J4" s="2"/>
      <c r="K4" s="2"/>
      <c r="L4" s="2"/>
    </row>
    <row r="5" spans="1:12" outlineLevel="1" x14ac:dyDescent="0.25">
      <c r="A5" s="4"/>
      <c r="B5" s="45"/>
      <c r="C5" s="6">
        <v>3</v>
      </c>
      <c r="D5" s="2"/>
      <c r="E5" s="2"/>
      <c r="F5" s="2"/>
      <c r="G5" s="2">
        <f t="shared" si="0"/>
        <v>0</v>
      </c>
      <c r="H5" s="3" t="e">
        <f t="shared" si="1"/>
        <v>#DIV/0!</v>
      </c>
      <c r="I5" s="3"/>
      <c r="J5" s="2"/>
      <c r="K5" s="2"/>
      <c r="L5" s="2"/>
    </row>
    <row r="6" spans="1:12" outlineLevel="1" x14ac:dyDescent="0.25">
      <c r="A6" s="4"/>
      <c r="B6" s="45"/>
      <c r="C6" s="6">
        <v>4</v>
      </c>
      <c r="D6" s="2"/>
      <c r="E6" s="2"/>
      <c r="F6" s="2"/>
      <c r="G6" s="2">
        <f t="shared" si="0"/>
        <v>0</v>
      </c>
      <c r="H6" s="3" t="e">
        <f t="shared" si="1"/>
        <v>#DIV/0!</v>
      </c>
      <c r="I6" s="3"/>
      <c r="J6" s="2"/>
      <c r="K6" s="2"/>
      <c r="L6" s="2"/>
    </row>
    <row r="7" spans="1:12" outlineLevel="1" x14ac:dyDescent="0.25">
      <c r="A7" s="4"/>
      <c r="B7" s="46"/>
      <c r="C7" s="6">
        <v>5</v>
      </c>
      <c r="D7" s="2"/>
      <c r="E7" s="2"/>
      <c r="F7" s="2"/>
      <c r="G7" s="2">
        <f t="shared" si="0"/>
        <v>0</v>
      </c>
      <c r="H7" s="3" t="e">
        <f t="shared" si="1"/>
        <v>#DIV/0!</v>
      </c>
      <c r="I7" s="3"/>
      <c r="J7" s="2"/>
      <c r="K7" s="2"/>
      <c r="L7" s="2"/>
    </row>
    <row r="8" spans="1:12" outlineLevel="1" x14ac:dyDescent="0.25">
      <c r="A8" s="4"/>
      <c r="B8" s="46"/>
      <c r="C8" s="6">
        <v>6</v>
      </c>
      <c r="D8" s="2"/>
      <c r="E8" s="2"/>
      <c r="F8" s="2"/>
      <c r="G8" s="2">
        <f t="shared" si="0"/>
        <v>0</v>
      </c>
      <c r="H8" s="3" t="e">
        <f t="shared" si="1"/>
        <v>#DIV/0!</v>
      </c>
      <c r="I8" s="3"/>
      <c r="J8" s="2"/>
      <c r="K8" s="2"/>
      <c r="L8" s="2"/>
    </row>
    <row r="9" spans="1:12" outlineLevel="1" x14ac:dyDescent="0.25">
      <c r="A9" s="37"/>
      <c r="B9" s="17"/>
      <c r="C9" s="38">
        <v>7</v>
      </c>
      <c r="D9" s="17"/>
      <c r="E9" s="17"/>
      <c r="F9" s="17"/>
      <c r="G9" s="17">
        <f t="shared" si="0"/>
        <v>0</v>
      </c>
      <c r="H9" s="39" t="e">
        <f t="shared" si="1"/>
        <v>#DIV/0!</v>
      </c>
      <c r="I9" s="39"/>
      <c r="J9" s="2"/>
      <c r="K9" s="2"/>
      <c r="L9" s="2"/>
    </row>
    <row r="10" spans="1:12" outlineLevel="1" x14ac:dyDescent="0.25">
      <c r="A10" s="4"/>
      <c r="B10" s="46"/>
      <c r="C10" s="6">
        <v>8</v>
      </c>
      <c r="D10" s="2"/>
      <c r="E10" s="2"/>
      <c r="F10" s="2"/>
      <c r="G10" s="2">
        <f t="shared" si="0"/>
        <v>0</v>
      </c>
      <c r="H10" s="3" t="e">
        <f t="shared" si="1"/>
        <v>#DIV/0!</v>
      </c>
      <c r="I10" s="7"/>
      <c r="K10" s="2"/>
      <c r="L10" s="2"/>
    </row>
    <row r="11" spans="1:12" outlineLevel="1" x14ac:dyDescent="0.25">
      <c r="A11" s="4"/>
      <c r="B11" s="46"/>
      <c r="C11" s="6">
        <v>9</v>
      </c>
      <c r="D11" s="2"/>
      <c r="E11" s="2"/>
      <c r="F11" s="2"/>
      <c r="G11" s="2">
        <f t="shared" si="0"/>
        <v>0</v>
      </c>
      <c r="H11" s="3" t="e">
        <f t="shared" si="1"/>
        <v>#DIV/0!</v>
      </c>
      <c r="I11" s="3"/>
      <c r="J11" s="2"/>
      <c r="K11" s="2"/>
      <c r="L11" s="2"/>
    </row>
    <row r="12" spans="1:12" outlineLevel="1" x14ac:dyDescent="0.25">
      <c r="A12" s="4"/>
      <c r="B12" s="6"/>
      <c r="C12" s="6">
        <v>10</v>
      </c>
      <c r="D12" s="2"/>
      <c r="E12" s="2"/>
      <c r="F12" s="2"/>
      <c r="G12" s="2">
        <f t="shared" si="0"/>
        <v>0</v>
      </c>
      <c r="H12" s="3" t="e">
        <f t="shared" si="1"/>
        <v>#DIV/0!</v>
      </c>
      <c r="I12" s="3"/>
      <c r="J12" s="2"/>
      <c r="K12" s="2"/>
      <c r="L12" s="2"/>
    </row>
    <row r="13" spans="1:12" outlineLevel="1" x14ac:dyDescent="0.25">
      <c r="A13" s="4"/>
      <c r="B13" s="2"/>
      <c r="C13" s="6">
        <v>11</v>
      </c>
      <c r="D13" s="2"/>
      <c r="E13" s="2"/>
      <c r="F13" s="2"/>
      <c r="G13" s="2">
        <f t="shared" si="0"/>
        <v>0</v>
      </c>
      <c r="H13" s="3" t="e">
        <f t="shared" si="1"/>
        <v>#DIV/0!</v>
      </c>
      <c r="I13" s="3"/>
      <c r="J13" s="2"/>
      <c r="K13" s="2"/>
      <c r="L13" s="2"/>
    </row>
    <row r="14" spans="1:12" outlineLevel="1" x14ac:dyDescent="0.25">
      <c r="A14" s="4"/>
      <c r="B14" s="2"/>
      <c r="C14" s="6">
        <v>12</v>
      </c>
      <c r="D14" s="2"/>
      <c r="E14" s="2"/>
      <c r="F14" s="2"/>
      <c r="G14" s="2">
        <f t="shared" si="0"/>
        <v>0</v>
      </c>
      <c r="H14" s="3" t="e">
        <f t="shared" si="1"/>
        <v>#DIV/0!</v>
      </c>
      <c r="I14" s="3"/>
      <c r="J14" s="2"/>
      <c r="K14" s="2"/>
      <c r="L14" s="2"/>
    </row>
    <row r="15" spans="1:12" outlineLevel="1" x14ac:dyDescent="0.25">
      <c r="A15" s="4"/>
      <c r="B15" s="2"/>
      <c r="C15" s="6">
        <v>13</v>
      </c>
      <c r="D15" s="2"/>
      <c r="E15" s="2"/>
      <c r="F15" s="2"/>
      <c r="G15" s="2">
        <f t="shared" si="0"/>
        <v>0</v>
      </c>
      <c r="H15" s="3" t="e">
        <f t="shared" si="1"/>
        <v>#DIV/0!</v>
      </c>
      <c r="I15" s="3"/>
      <c r="J15" s="2"/>
      <c r="K15" s="2"/>
      <c r="L15" s="2"/>
    </row>
    <row r="16" spans="1:12" outlineLevel="1" x14ac:dyDescent="0.25">
      <c r="A16" s="4"/>
      <c r="B16" s="2"/>
      <c r="C16" s="6">
        <v>14</v>
      </c>
      <c r="D16" s="2"/>
      <c r="E16" s="2"/>
      <c r="F16" s="2"/>
      <c r="G16" s="2">
        <f t="shared" si="0"/>
        <v>0</v>
      </c>
      <c r="H16" s="3" t="e">
        <f t="shared" si="1"/>
        <v>#DIV/0!</v>
      </c>
      <c r="I16" s="3"/>
      <c r="J16" s="2"/>
      <c r="K16" s="2"/>
      <c r="L16" s="2"/>
    </row>
    <row r="17" spans="1:12" outlineLevel="1" x14ac:dyDescent="0.25">
      <c r="A17" s="4"/>
      <c r="B17" s="2"/>
      <c r="C17" s="6">
        <v>15</v>
      </c>
      <c r="D17" s="2"/>
      <c r="E17" s="2"/>
      <c r="F17" s="2"/>
      <c r="G17" s="2">
        <f t="shared" si="0"/>
        <v>0</v>
      </c>
      <c r="H17" s="3" t="e">
        <f t="shared" si="1"/>
        <v>#DIV/0!</v>
      </c>
      <c r="I17" s="3"/>
      <c r="J17" s="2"/>
      <c r="K17" s="2"/>
      <c r="L17" s="2"/>
    </row>
    <row r="18" spans="1:12" outlineLevel="1" x14ac:dyDescent="0.25">
      <c r="A18" s="4"/>
      <c r="B18" s="2"/>
      <c r="C18" s="6">
        <v>16</v>
      </c>
      <c r="D18" s="2"/>
      <c r="E18" s="2"/>
      <c r="F18" s="2"/>
      <c r="G18" s="2">
        <f t="shared" si="0"/>
        <v>0</v>
      </c>
      <c r="H18" s="3" t="e">
        <f t="shared" si="1"/>
        <v>#DIV/0!</v>
      </c>
      <c r="I18" s="3"/>
      <c r="J18" s="2"/>
      <c r="K18" s="2"/>
      <c r="L18" s="2"/>
    </row>
    <row r="19" spans="1:12" outlineLevel="1" x14ac:dyDescent="0.25">
      <c r="A19" s="4"/>
      <c r="B19" s="2"/>
      <c r="C19" s="6">
        <v>17</v>
      </c>
      <c r="D19" s="2"/>
      <c r="E19" s="2"/>
      <c r="F19" s="2"/>
      <c r="G19" s="2">
        <f t="shared" si="0"/>
        <v>0</v>
      </c>
      <c r="H19" s="3" t="e">
        <f t="shared" si="1"/>
        <v>#DIV/0!</v>
      </c>
      <c r="I19" s="3"/>
      <c r="J19" s="2"/>
      <c r="K19" s="2"/>
      <c r="L19" s="2"/>
    </row>
    <row r="20" spans="1:12" outlineLevel="1" x14ac:dyDescent="0.25">
      <c r="A20" s="4"/>
      <c r="B20" s="2"/>
      <c r="C20" s="6">
        <v>18</v>
      </c>
      <c r="D20" s="2"/>
      <c r="E20" s="2"/>
      <c r="F20" s="2"/>
      <c r="G20" s="2">
        <f t="shared" si="0"/>
        <v>0</v>
      </c>
      <c r="H20" s="3" t="e">
        <f t="shared" si="1"/>
        <v>#DIV/0!</v>
      </c>
      <c r="I20" s="3"/>
      <c r="J20" s="2"/>
      <c r="K20" s="2"/>
      <c r="L20" s="2"/>
    </row>
    <row r="21" spans="1:12" outlineLevel="1" x14ac:dyDescent="0.25">
      <c r="A21" s="4"/>
      <c r="B21" s="2"/>
      <c r="C21" s="6">
        <v>19</v>
      </c>
      <c r="D21" s="2"/>
      <c r="E21" s="2"/>
      <c r="F21" s="2"/>
      <c r="G21" s="2">
        <f t="shared" si="0"/>
        <v>0</v>
      </c>
      <c r="H21" s="3" t="e">
        <f t="shared" si="1"/>
        <v>#DIV/0!</v>
      </c>
      <c r="I21" s="3"/>
      <c r="J21" s="2"/>
      <c r="K21" s="2"/>
      <c r="L21" s="2"/>
    </row>
    <row r="22" spans="1:12" outlineLevel="1" x14ac:dyDescent="0.25">
      <c r="A22" s="4"/>
      <c r="B22" s="2"/>
      <c r="C22" s="6">
        <v>20</v>
      </c>
      <c r="D22" s="2"/>
      <c r="E22" s="2"/>
      <c r="F22" s="2"/>
      <c r="G22" s="2">
        <f t="shared" si="0"/>
        <v>0</v>
      </c>
      <c r="H22" s="3" t="e">
        <f t="shared" si="1"/>
        <v>#DIV/0!</v>
      </c>
      <c r="I22" s="3"/>
      <c r="J22" s="2"/>
      <c r="K22" s="2"/>
      <c r="L22" s="2"/>
    </row>
    <row r="23" spans="1:12" outlineLevel="1" x14ac:dyDescent="0.25">
      <c r="A23" s="4"/>
      <c r="B23" s="2"/>
      <c r="C23" s="2">
        <v>21</v>
      </c>
      <c r="D23" s="2"/>
      <c r="E23" s="2"/>
      <c r="F23" s="2"/>
      <c r="G23" s="2">
        <f t="shared" si="0"/>
        <v>0</v>
      </c>
      <c r="H23" s="3" t="e">
        <f t="shared" si="1"/>
        <v>#DIV/0!</v>
      </c>
      <c r="I23" s="3"/>
      <c r="J23" s="2"/>
      <c r="K23" s="2"/>
      <c r="L23" s="2"/>
    </row>
    <row r="24" spans="1:12" x14ac:dyDescent="0.25">
      <c r="D24">
        <f>SUM(D3:D23)</f>
        <v>0</v>
      </c>
      <c r="I24" s="1">
        <f>SUM(I3:I23)</f>
        <v>0</v>
      </c>
      <c r="K24">
        <f>SUM(K3:K23)</f>
        <v>0</v>
      </c>
      <c r="L24">
        <f>SUM(L3:L23)</f>
        <v>0</v>
      </c>
    </row>
    <row r="25" spans="1:12" x14ac:dyDescent="0.25">
      <c r="A25" t="s">
        <v>29</v>
      </c>
      <c r="B25">
        <f>SUM(Avr!B25+Mai!D24)</f>
        <v>1047</v>
      </c>
      <c r="H25" s="1">
        <f>SUM(Janv!H22+Fév!I21)</f>
        <v>2227</v>
      </c>
      <c r="K25">
        <f>SUM(Avr!K25+Mai!K24)</f>
        <v>0</v>
      </c>
      <c r="L25">
        <f>SUM(Avr!L25+Mai!L24)</f>
        <v>1047</v>
      </c>
    </row>
    <row r="26" spans="1:12" x14ac:dyDescent="0.25">
      <c r="J26" t="s">
        <v>22</v>
      </c>
      <c r="K26">
        <v>1843</v>
      </c>
      <c r="L26">
        <v>9688</v>
      </c>
    </row>
    <row r="27" spans="1:12" x14ac:dyDescent="0.25">
      <c r="J27" t="s">
        <v>24</v>
      </c>
      <c r="K27">
        <v>2920</v>
      </c>
      <c r="L27">
        <v>6089</v>
      </c>
    </row>
    <row r="28" spans="1:12" x14ac:dyDescent="0.25">
      <c r="J28" t="s">
        <v>25</v>
      </c>
      <c r="K28">
        <v>7538</v>
      </c>
      <c r="L28">
        <v>3488</v>
      </c>
    </row>
    <row r="29" spans="1:12" x14ac:dyDescent="0.25">
      <c r="J29" t="s">
        <v>27</v>
      </c>
      <c r="K29">
        <v>624</v>
      </c>
      <c r="L29">
        <v>4941</v>
      </c>
    </row>
    <row r="30" spans="1:12" x14ac:dyDescent="0.25">
      <c r="J30" t="s">
        <v>30</v>
      </c>
      <c r="K30">
        <v>289</v>
      </c>
      <c r="L30">
        <v>6903</v>
      </c>
    </row>
    <row r="31" spans="1:12" x14ac:dyDescent="0.25">
      <c r="J31" t="s">
        <v>31</v>
      </c>
    </row>
    <row r="33" spans="10:12" x14ac:dyDescent="0.25">
      <c r="J33" t="s">
        <v>23</v>
      </c>
      <c r="K33">
        <f>SUM(K26:K32)</f>
        <v>13214</v>
      </c>
      <c r="L33">
        <f>SUM(L26:L32)</f>
        <v>31109</v>
      </c>
    </row>
  </sheetData>
  <mergeCells count="2">
    <mergeCell ref="E2:G2"/>
    <mergeCell ref="A1:G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3"/>
  <sheetViews>
    <sheetView workbookViewId="0">
      <selection activeCell="G13" sqref="G13"/>
    </sheetView>
  </sheetViews>
  <sheetFormatPr baseColWidth="10" defaultRowHeight="15" x14ac:dyDescent="0.25"/>
  <cols>
    <col min="1" max="1" width="12.42578125" customWidth="1"/>
    <col min="2" max="2" width="34.28515625" customWidth="1"/>
    <col min="3" max="3" width="4" customWidth="1"/>
    <col min="4" max="4" width="12" customWidth="1"/>
    <col min="5" max="5" width="5.7109375" customWidth="1"/>
    <col min="6" max="6" width="5.85546875" customWidth="1"/>
    <col min="7" max="7" width="5.7109375" customWidth="1"/>
    <col min="8" max="9" width="11.42578125" style="1"/>
    <col min="10" max="10" width="18.5703125" customWidth="1"/>
    <col min="11" max="11" width="8.42578125" customWidth="1"/>
    <col min="12" max="12" width="8" customWidth="1"/>
  </cols>
  <sheetData>
    <row r="1" spans="1:12" ht="27" thickBot="1" x14ac:dyDescent="0.45">
      <c r="A1" s="55" t="s">
        <v>12</v>
      </c>
      <c r="B1" s="55"/>
      <c r="C1" s="55"/>
      <c r="D1" s="55"/>
      <c r="E1" s="55"/>
      <c r="F1" s="55"/>
      <c r="G1" s="55"/>
      <c r="H1" s="13">
        <f>SUM(Janv!H1)</f>
        <v>2026</v>
      </c>
      <c r="I1" s="13"/>
      <c r="J1" s="13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54" t="s">
        <v>3</v>
      </c>
      <c r="F2" s="54"/>
      <c r="G2" s="54"/>
      <c r="H2" s="10" t="s">
        <v>4</v>
      </c>
      <c r="I2" s="16" t="s">
        <v>19</v>
      </c>
      <c r="J2" s="11" t="s">
        <v>5</v>
      </c>
      <c r="K2" s="33" t="s">
        <v>20</v>
      </c>
      <c r="L2" s="34" t="s">
        <v>21</v>
      </c>
    </row>
    <row r="3" spans="1:12" x14ac:dyDescent="0.25">
      <c r="A3" s="5"/>
      <c r="B3" s="48"/>
      <c r="C3" s="6">
        <v>1</v>
      </c>
      <c r="D3" s="6"/>
      <c r="E3" s="6"/>
      <c r="F3" s="6"/>
      <c r="G3" s="6">
        <f>SUM(E3*60+F3)</f>
        <v>0</v>
      </c>
      <c r="H3" s="26" t="str">
        <f t="shared" ref="H3:H12" si="0">IF(G3&lt;&gt;0,D3/G3*60,"")</f>
        <v/>
      </c>
      <c r="I3" s="7"/>
      <c r="J3" s="2"/>
      <c r="K3" s="6"/>
      <c r="L3" s="6"/>
    </row>
    <row r="4" spans="1:12" x14ac:dyDescent="0.25">
      <c r="A4" s="4"/>
      <c r="B4" s="45"/>
      <c r="C4" s="6">
        <v>2</v>
      </c>
      <c r="D4" s="2"/>
      <c r="E4" s="2"/>
      <c r="F4" s="2"/>
      <c r="G4" s="6">
        <f t="shared" ref="G4:G20" si="1">SUM(E4*60+F4)</f>
        <v>0</v>
      </c>
      <c r="H4" s="26" t="str">
        <f t="shared" si="0"/>
        <v/>
      </c>
      <c r="I4" s="7"/>
      <c r="J4" s="2"/>
      <c r="K4" s="2"/>
      <c r="L4" s="2"/>
    </row>
    <row r="5" spans="1:12" x14ac:dyDescent="0.25">
      <c r="A5" s="4"/>
      <c r="B5" s="45"/>
      <c r="C5" s="6">
        <v>3</v>
      </c>
      <c r="D5" s="2"/>
      <c r="E5" s="2"/>
      <c r="F5" s="2"/>
      <c r="G5" s="6">
        <f t="shared" si="1"/>
        <v>0</v>
      </c>
      <c r="H5" s="26" t="str">
        <f t="shared" si="0"/>
        <v/>
      </c>
      <c r="I5" s="3"/>
      <c r="J5" s="2"/>
      <c r="K5" s="2"/>
      <c r="L5" s="2"/>
    </row>
    <row r="6" spans="1:12" x14ac:dyDescent="0.25">
      <c r="A6" s="4"/>
      <c r="B6" s="45"/>
      <c r="C6" s="6">
        <v>4</v>
      </c>
      <c r="D6" s="2"/>
      <c r="E6" s="2"/>
      <c r="F6" s="2"/>
      <c r="G6" s="6">
        <f t="shared" si="1"/>
        <v>0</v>
      </c>
      <c r="H6" s="26" t="str">
        <f t="shared" si="0"/>
        <v/>
      </c>
      <c r="I6" s="3"/>
      <c r="J6" s="2"/>
      <c r="K6" s="2"/>
      <c r="L6" s="2"/>
    </row>
    <row r="7" spans="1:12" x14ac:dyDescent="0.25">
      <c r="A7" s="4"/>
      <c r="B7" s="45"/>
      <c r="C7" s="6">
        <v>5</v>
      </c>
      <c r="D7" s="2"/>
      <c r="E7" s="2"/>
      <c r="F7" s="2"/>
      <c r="G7" s="6">
        <f t="shared" si="1"/>
        <v>0</v>
      </c>
      <c r="H7" s="26" t="str">
        <f t="shared" si="0"/>
        <v/>
      </c>
      <c r="I7" s="3"/>
      <c r="J7" s="2"/>
      <c r="K7" s="2"/>
      <c r="L7" s="2"/>
    </row>
    <row r="8" spans="1:12" s="28" customFormat="1" x14ac:dyDescent="0.25">
      <c r="A8" s="23"/>
      <c r="B8" s="2"/>
      <c r="C8" s="6">
        <v>6</v>
      </c>
      <c r="D8" s="2"/>
      <c r="E8" s="2"/>
      <c r="F8" s="2"/>
      <c r="G8" s="6">
        <f t="shared" si="1"/>
        <v>0</v>
      </c>
      <c r="H8" s="26" t="str">
        <f t="shared" si="0"/>
        <v/>
      </c>
      <c r="I8" s="3"/>
      <c r="J8" s="2"/>
      <c r="K8" s="2"/>
      <c r="L8" s="2"/>
    </row>
    <row r="9" spans="1:12" s="28" customFormat="1" x14ac:dyDescent="0.25">
      <c r="A9" s="23"/>
      <c r="B9" s="2"/>
      <c r="C9" s="25">
        <v>7</v>
      </c>
      <c r="D9" s="24"/>
      <c r="E9" s="24"/>
      <c r="F9" s="24"/>
      <c r="G9" s="25">
        <f t="shared" si="1"/>
        <v>0</v>
      </c>
      <c r="H9" s="26" t="str">
        <f t="shared" si="0"/>
        <v/>
      </c>
      <c r="I9" s="26"/>
      <c r="J9" s="24"/>
      <c r="K9" s="24"/>
      <c r="L9" s="24"/>
    </row>
    <row r="10" spans="1:12" s="28" customFormat="1" x14ac:dyDescent="0.25">
      <c r="A10" s="23"/>
      <c r="B10" s="2"/>
      <c r="C10" s="25">
        <v>8</v>
      </c>
      <c r="D10" s="24"/>
      <c r="E10" s="24"/>
      <c r="F10" s="24"/>
      <c r="G10" s="25">
        <f t="shared" si="1"/>
        <v>0</v>
      </c>
      <c r="H10" s="26" t="str">
        <f t="shared" si="0"/>
        <v/>
      </c>
      <c r="I10" s="27"/>
      <c r="J10" s="24"/>
      <c r="K10" s="24"/>
      <c r="L10" s="24"/>
    </row>
    <row r="11" spans="1:12" s="28" customFormat="1" x14ac:dyDescent="0.25">
      <c r="A11" s="23"/>
      <c r="B11" s="2"/>
      <c r="C11" s="25">
        <v>9</v>
      </c>
      <c r="D11" s="24"/>
      <c r="E11" s="24"/>
      <c r="F11" s="24"/>
      <c r="G11" s="25">
        <f t="shared" si="1"/>
        <v>0</v>
      </c>
      <c r="H11" s="26" t="str">
        <f t="shared" si="0"/>
        <v/>
      </c>
      <c r="I11" s="26"/>
      <c r="J11" s="24"/>
      <c r="K11" s="24"/>
      <c r="L11" s="24"/>
    </row>
    <row r="12" spans="1:12" x14ac:dyDescent="0.25">
      <c r="A12" s="4"/>
      <c r="B12" s="2"/>
      <c r="C12" s="6">
        <v>10</v>
      </c>
      <c r="D12" s="2"/>
      <c r="E12" s="2"/>
      <c r="F12" s="2"/>
      <c r="G12" s="6">
        <f t="shared" si="1"/>
        <v>0</v>
      </c>
      <c r="H12" s="26" t="str">
        <f t="shared" si="0"/>
        <v/>
      </c>
      <c r="I12" s="3"/>
      <c r="J12" s="2"/>
      <c r="K12" s="2"/>
      <c r="L12" s="2"/>
    </row>
    <row r="13" spans="1:12" x14ac:dyDescent="0.25">
      <c r="A13" s="4"/>
      <c r="B13" s="45"/>
      <c r="C13" s="6">
        <v>11</v>
      </c>
      <c r="D13" s="2"/>
      <c r="E13" s="2"/>
      <c r="F13" s="2"/>
      <c r="G13" s="6">
        <f t="shared" si="1"/>
        <v>0</v>
      </c>
      <c r="H13" s="26" t="str">
        <f t="shared" ref="H13:H14" si="2">IF(G13&lt;&gt;0,D13/G13*60,"")</f>
        <v/>
      </c>
      <c r="I13" s="3"/>
      <c r="J13" s="2"/>
      <c r="K13" s="2"/>
      <c r="L13" s="2"/>
    </row>
    <row r="14" spans="1:12" x14ac:dyDescent="0.25">
      <c r="A14" s="4"/>
      <c r="B14" s="4"/>
      <c r="C14" s="6">
        <v>12</v>
      </c>
      <c r="D14" s="2"/>
      <c r="E14" s="2"/>
      <c r="F14" s="2"/>
      <c r="G14" s="6">
        <f t="shared" si="1"/>
        <v>0</v>
      </c>
      <c r="H14" s="26" t="str">
        <f t="shared" si="2"/>
        <v/>
      </c>
      <c r="I14" s="3"/>
      <c r="J14" s="2"/>
      <c r="K14" s="2"/>
      <c r="L14" s="2"/>
    </row>
    <row r="15" spans="1:12" x14ac:dyDescent="0.25">
      <c r="A15" s="4"/>
      <c r="B15" s="24"/>
      <c r="C15" s="25">
        <v>13</v>
      </c>
      <c r="D15" s="24"/>
      <c r="E15" s="24"/>
      <c r="F15" s="24"/>
      <c r="G15" s="25">
        <f t="shared" si="1"/>
        <v>0</v>
      </c>
      <c r="H15" s="26" t="str">
        <f>IF(G15&lt;&gt;0,D15/G15*60,"")</f>
        <v/>
      </c>
      <c r="I15" s="26"/>
      <c r="J15" s="24"/>
      <c r="K15" s="2"/>
      <c r="L15" s="2"/>
    </row>
    <row r="16" spans="1:12" x14ac:dyDescent="0.25">
      <c r="A16" s="4"/>
      <c r="B16" s="24"/>
      <c r="C16" s="25">
        <v>14</v>
      </c>
      <c r="D16" s="24"/>
      <c r="E16" s="24"/>
      <c r="F16" s="24"/>
      <c r="G16" s="25">
        <f t="shared" si="1"/>
        <v>0</v>
      </c>
      <c r="H16" s="26" t="str">
        <f t="shared" ref="H16:H23" si="3">IF(G16&lt;&gt;0,D16/G16*60,"")</f>
        <v/>
      </c>
      <c r="I16" s="26"/>
      <c r="J16" s="24"/>
      <c r="K16" s="2"/>
      <c r="L16" s="2"/>
    </row>
    <row r="17" spans="1:14" x14ac:dyDescent="0.25">
      <c r="A17" s="4"/>
      <c r="B17" s="24"/>
      <c r="C17" s="25">
        <v>15</v>
      </c>
      <c r="D17" s="24"/>
      <c r="E17" s="24"/>
      <c r="F17" s="24"/>
      <c r="G17" s="25">
        <f t="shared" si="1"/>
        <v>0</v>
      </c>
      <c r="H17" s="26" t="str">
        <f t="shared" si="3"/>
        <v/>
      </c>
      <c r="I17" s="26"/>
      <c r="J17" s="24"/>
      <c r="K17" s="2"/>
      <c r="L17" s="2"/>
    </row>
    <row r="18" spans="1:14" x14ac:dyDescent="0.25">
      <c r="A18" s="35"/>
      <c r="B18" s="24"/>
      <c r="C18" s="25">
        <v>16</v>
      </c>
      <c r="D18" s="24"/>
      <c r="E18" s="24"/>
      <c r="F18" s="24"/>
      <c r="G18" s="25">
        <f t="shared" si="1"/>
        <v>0</v>
      </c>
      <c r="H18" s="26" t="str">
        <f t="shared" si="3"/>
        <v/>
      </c>
      <c r="I18" s="26"/>
      <c r="J18" s="24"/>
      <c r="K18" s="2"/>
      <c r="L18" s="2"/>
    </row>
    <row r="19" spans="1:14" x14ac:dyDescent="0.25">
      <c r="A19" s="4"/>
      <c r="B19" s="24"/>
      <c r="C19" s="25">
        <v>17</v>
      </c>
      <c r="D19" s="24"/>
      <c r="E19" s="24"/>
      <c r="F19" s="24"/>
      <c r="G19" s="25">
        <f t="shared" si="1"/>
        <v>0</v>
      </c>
      <c r="H19" s="26" t="str">
        <f t="shared" si="3"/>
        <v/>
      </c>
      <c r="I19" s="26"/>
      <c r="J19" s="24"/>
      <c r="K19" s="2"/>
      <c r="L19" s="2"/>
    </row>
    <row r="20" spans="1:14" x14ac:dyDescent="0.25">
      <c r="A20" s="4"/>
      <c r="B20" s="24"/>
      <c r="C20" s="25">
        <v>18</v>
      </c>
      <c r="D20" s="24"/>
      <c r="E20" s="24"/>
      <c r="F20" s="24"/>
      <c r="G20" s="25">
        <f t="shared" si="1"/>
        <v>0</v>
      </c>
      <c r="H20" s="26" t="str">
        <f t="shared" si="3"/>
        <v/>
      </c>
      <c r="I20" s="26"/>
      <c r="J20" s="24"/>
      <c r="K20" s="2"/>
      <c r="L20" s="2"/>
    </row>
    <row r="21" spans="1:14" x14ac:dyDescent="0.25">
      <c r="A21" s="4"/>
      <c r="B21" s="24"/>
      <c r="C21" s="25">
        <v>19</v>
      </c>
      <c r="D21" s="24"/>
      <c r="E21" s="24"/>
      <c r="F21" s="24"/>
      <c r="G21" s="24">
        <f t="shared" ref="G21:G23" si="4">SUM(E21*60+F21)</f>
        <v>0</v>
      </c>
      <c r="H21" s="26" t="str">
        <f t="shared" si="3"/>
        <v/>
      </c>
      <c r="I21" s="26"/>
      <c r="J21" s="24"/>
      <c r="K21" s="2"/>
      <c r="L21" s="2"/>
    </row>
    <row r="22" spans="1:14" x14ac:dyDescent="0.25">
      <c r="A22" s="4"/>
      <c r="B22" s="24"/>
      <c r="C22" s="25">
        <v>20</v>
      </c>
      <c r="D22" s="24"/>
      <c r="E22" s="24"/>
      <c r="F22" s="24"/>
      <c r="G22" s="24">
        <f t="shared" si="4"/>
        <v>0</v>
      </c>
      <c r="H22" s="26" t="str">
        <f t="shared" si="3"/>
        <v/>
      </c>
      <c r="I22" s="26"/>
      <c r="J22" s="24"/>
      <c r="K22" s="2"/>
      <c r="L22" s="2"/>
    </row>
    <row r="23" spans="1:14" x14ac:dyDescent="0.25">
      <c r="A23" s="4"/>
      <c r="B23" s="24"/>
      <c r="C23" s="25">
        <v>21</v>
      </c>
      <c r="D23" s="24"/>
      <c r="E23" s="24"/>
      <c r="F23" s="24"/>
      <c r="G23" s="24">
        <f t="shared" si="4"/>
        <v>0</v>
      </c>
      <c r="H23" s="26" t="str">
        <f t="shared" si="3"/>
        <v/>
      </c>
      <c r="I23" s="26"/>
      <c r="J23" s="24"/>
      <c r="K23" s="2"/>
      <c r="L23" s="2"/>
      <c r="N23" s="1"/>
    </row>
    <row r="24" spans="1:14" x14ac:dyDescent="0.25">
      <c r="D24">
        <f>SUM(D3:D23)</f>
        <v>0</v>
      </c>
      <c r="I24" s="1">
        <f>SUM(I3:I23)</f>
        <v>0</v>
      </c>
      <c r="K24">
        <f>SUM(K3:K23)</f>
        <v>0</v>
      </c>
      <c r="L24">
        <f>SUM(L3:L23)</f>
        <v>0</v>
      </c>
    </row>
    <row r="25" spans="1:14" x14ac:dyDescent="0.25">
      <c r="A25" t="s">
        <v>29</v>
      </c>
      <c r="B25">
        <f>SUM(Mai!B25+Juin!D24)</f>
        <v>1047</v>
      </c>
      <c r="H25" s="1">
        <f>SUM(Janv!H22+Fév!I21)</f>
        <v>2227</v>
      </c>
      <c r="K25">
        <f>SUM(Mai!K25+Juin!K24)</f>
        <v>0</v>
      </c>
      <c r="L25">
        <f>SUM(Mai!L25+Juin!L24)</f>
        <v>1047</v>
      </c>
    </row>
    <row r="26" spans="1:14" x14ac:dyDescent="0.25">
      <c r="J26" t="s">
        <v>22</v>
      </c>
      <c r="K26">
        <v>1843</v>
      </c>
      <c r="L26">
        <v>9688</v>
      </c>
    </row>
    <row r="27" spans="1:14" x14ac:dyDescent="0.25">
      <c r="J27" t="s">
        <v>24</v>
      </c>
      <c r="K27">
        <v>2920</v>
      </c>
      <c r="L27">
        <v>6089</v>
      </c>
    </row>
    <row r="28" spans="1:14" x14ac:dyDescent="0.25">
      <c r="J28" t="s">
        <v>25</v>
      </c>
      <c r="K28">
        <v>7538</v>
      </c>
      <c r="L28">
        <v>3488</v>
      </c>
    </row>
    <row r="29" spans="1:14" x14ac:dyDescent="0.25">
      <c r="J29" t="s">
        <v>27</v>
      </c>
      <c r="K29">
        <v>624</v>
      </c>
      <c r="L29">
        <v>4941</v>
      </c>
    </row>
    <row r="30" spans="1:14" x14ac:dyDescent="0.25">
      <c r="J30" t="s">
        <v>30</v>
      </c>
      <c r="K30">
        <v>289</v>
      </c>
      <c r="L30">
        <v>6903</v>
      </c>
    </row>
    <row r="31" spans="1:14" x14ac:dyDescent="0.25">
      <c r="J31" t="s">
        <v>31</v>
      </c>
    </row>
    <row r="33" spans="10:12" x14ac:dyDescent="0.25">
      <c r="J33" t="s">
        <v>23</v>
      </c>
      <c r="K33">
        <f>SUM(K26:K32)</f>
        <v>13214</v>
      </c>
      <c r="L33">
        <f>SUM(L26:L32)</f>
        <v>31109</v>
      </c>
    </row>
  </sheetData>
  <mergeCells count="2">
    <mergeCell ref="E2:G2"/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3"/>
  <sheetViews>
    <sheetView workbookViewId="0">
      <selection activeCell="I3" sqref="I3:L12"/>
    </sheetView>
  </sheetViews>
  <sheetFormatPr baseColWidth="10" defaultRowHeight="15" x14ac:dyDescent="0.25"/>
  <cols>
    <col min="1" max="1" width="12.7109375" customWidth="1"/>
    <col min="2" max="2" width="34.28515625" customWidth="1"/>
    <col min="3" max="3" width="4" customWidth="1"/>
    <col min="4" max="4" width="12" customWidth="1"/>
    <col min="5" max="5" width="5.7109375" customWidth="1"/>
    <col min="6" max="6" width="5.85546875" customWidth="1"/>
    <col min="7" max="7" width="5.7109375" customWidth="1"/>
    <col min="8" max="9" width="11.42578125" style="1"/>
    <col min="10" max="10" width="18.5703125" customWidth="1"/>
    <col min="11" max="11" width="8.42578125" customWidth="1"/>
    <col min="12" max="12" width="7.85546875" customWidth="1"/>
  </cols>
  <sheetData>
    <row r="1" spans="1:12" ht="27" thickBot="1" x14ac:dyDescent="0.45">
      <c r="A1" s="55" t="s">
        <v>13</v>
      </c>
      <c r="B1" s="55"/>
      <c r="C1" s="55"/>
      <c r="D1" s="55"/>
      <c r="E1" s="55"/>
      <c r="F1" s="55"/>
      <c r="G1" s="55"/>
      <c r="H1" s="13">
        <f>SUM(Janv!H1)</f>
        <v>2026</v>
      </c>
      <c r="I1" s="13"/>
      <c r="J1" s="13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54" t="s">
        <v>3</v>
      </c>
      <c r="F2" s="54"/>
      <c r="G2" s="54"/>
      <c r="H2" s="10" t="s">
        <v>4</v>
      </c>
      <c r="I2" s="16" t="s">
        <v>19</v>
      </c>
      <c r="J2" s="11" t="s">
        <v>5</v>
      </c>
      <c r="K2" s="33" t="s">
        <v>20</v>
      </c>
      <c r="L2" s="34" t="s">
        <v>21</v>
      </c>
    </row>
    <row r="3" spans="1:12" x14ac:dyDescent="0.25">
      <c r="A3" s="36"/>
      <c r="B3" s="25"/>
      <c r="C3" s="6">
        <v>1</v>
      </c>
      <c r="D3" s="6"/>
      <c r="E3" s="6"/>
      <c r="F3" s="6"/>
      <c r="G3" s="50">
        <f>SUM(E3*60+F3)</f>
        <v>0</v>
      </c>
      <c r="H3" s="51" t="str">
        <f>IF(G3&lt;&gt;0,D3/G3*60,"")</f>
        <v/>
      </c>
      <c r="I3" s="7"/>
      <c r="J3" s="6"/>
      <c r="K3" s="6"/>
      <c r="L3" s="6"/>
    </row>
    <row r="4" spans="1:12" x14ac:dyDescent="0.25">
      <c r="A4" s="23"/>
      <c r="B4" s="46"/>
      <c r="C4" s="6">
        <v>2</v>
      </c>
      <c r="D4" s="2"/>
      <c r="E4" s="2"/>
      <c r="F4" s="2"/>
      <c r="G4" s="50">
        <f t="shared" ref="G4:G23" si="0">SUM(E4*60+F4)</f>
        <v>0</v>
      </c>
      <c r="H4" s="51" t="str">
        <f t="shared" ref="H4:H12" si="1">IF(G4&lt;&gt;0,D4/G4*60,"")</f>
        <v/>
      </c>
      <c r="I4" s="7"/>
      <c r="J4" s="2"/>
      <c r="K4" s="2"/>
      <c r="L4" s="2"/>
    </row>
    <row r="5" spans="1:12" x14ac:dyDescent="0.25">
      <c r="A5" s="4"/>
      <c r="B5" s="46"/>
      <c r="C5" s="6">
        <v>3</v>
      </c>
      <c r="D5" s="2"/>
      <c r="E5" s="2"/>
      <c r="F5" s="2"/>
      <c r="G5" s="50">
        <f t="shared" si="0"/>
        <v>0</v>
      </c>
      <c r="H5" s="51" t="str">
        <f t="shared" si="1"/>
        <v/>
      </c>
      <c r="I5" s="3"/>
      <c r="J5" s="2"/>
      <c r="K5" s="2"/>
      <c r="L5" s="2"/>
    </row>
    <row r="6" spans="1:12" x14ac:dyDescent="0.25">
      <c r="A6" s="4"/>
      <c r="B6" s="46"/>
      <c r="C6" s="6">
        <v>4</v>
      </c>
      <c r="D6" s="2"/>
      <c r="E6" s="2"/>
      <c r="F6" s="2"/>
      <c r="G6" s="50">
        <f t="shared" si="0"/>
        <v>0</v>
      </c>
      <c r="H6" s="51" t="str">
        <f t="shared" si="1"/>
        <v/>
      </c>
      <c r="I6" s="3"/>
      <c r="J6" s="2"/>
      <c r="K6" s="2"/>
      <c r="L6" s="2"/>
    </row>
    <row r="7" spans="1:12" x14ac:dyDescent="0.25">
      <c r="A7" s="4"/>
      <c r="B7" s="46"/>
      <c r="C7" s="6">
        <v>5</v>
      </c>
      <c r="D7" s="2"/>
      <c r="E7" s="2"/>
      <c r="F7" s="2"/>
      <c r="G7" s="50">
        <f t="shared" si="0"/>
        <v>0</v>
      </c>
      <c r="H7" s="51" t="str">
        <f t="shared" si="1"/>
        <v/>
      </c>
      <c r="I7" s="3"/>
      <c r="J7" s="2"/>
      <c r="K7" s="2"/>
      <c r="L7" s="2"/>
    </row>
    <row r="8" spans="1:12" x14ac:dyDescent="0.25">
      <c r="A8" s="4"/>
      <c r="B8" s="2"/>
      <c r="C8" s="6">
        <v>6</v>
      </c>
      <c r="D8" s="2"/>
      <c r="E8" s="2"/>
      <c r="F8" s="2"/>
      <c r="G8" s="50">
        <f t="shared" si="0"/>
        <v>0</v>
      </c>
      <c r="H8" s="51" t="str">
        <f t="shared" si="1"/>
        <v/>
      </c>
      <c r="I8" s="3"/>
      <c r="J8" s="2"/>
      <c r="K8" s="2"/>
      <c r="L8" s="2"/>
    </row>
    <row r="9" spans="1:12" x14ac:dyDescent="0.25">
      <c r="A9" s="4"/>
      <c r="B9" s="45"/>
      <c r="C9" s="6">
        <v>7</v>
      </c>
      <c r="D9" s="2"/>
      <c r="E9" s="2"/>
      <c r="F9" s="2"/>
      <c r="G9" s="50">
        <f t="shared" si="0"/>
        <v>0</v>
      </c>
      <c r="H9" s="51" t="str">
        <f t="shared" si="1"/>
        <v/>
      </c>
      <c r="I9" s="3"/>
      <c r="J9" s="2"/>
      <c r="K9" s="2"/>
      <c r="L9" s="2"/>
    </row>
    <row r="10" spans="1:12" s="28" customFormat="1" x14ac:dyDescent="0.25">
      <c r="A10" s="23"/>
      <c r="B10" s="49"/>
      <c r="C10" s="6">
        <v>8</v>
      </c>
      <c r="D10" s="24"/>
      <c r="E10" s="24"/>
      <c r="F10" s="24"/>
      <c r="G10" s="50">
        <f t="shared" si="0"/>
        <v>0</v>
      </c>
      <c r="H10" s="51" t="str">
        <f t="shared" si="1"/>
        <v/>
      </c>
      <c r="I10" s="27"/>
      <c r="J10" s="24"/>
      <c r="K10" s="2"/>
      <c r="L10" s="2"/>
    </row>
    <row r="11" spans="1:12" s="28" customFormat="1" x14ac:dyDescent="0.25">
      <c r="A11" s="23"/>
      <c r="B11" s="24"/>
      <c r="C11" s="6">
        <v>9</v>
      </c>
      <c r="D11" s="24"/>
      <c r="E11" s="24"/>
      <c r="F11" s="24"/>
      <c r="G11" s="50">
        <f t="shared" si="0"/>
        <v>0</v>
      </c>
      <c r="H11" s="51" t="str">
        <f t="shared" si="1"/>
        <v/>
      </c>
      <c r="I11" s="26"/>
      <c r="J11" s="24"/>
      <c r="K11" s="2"/>
      <c r="L11" s="2"/>
    </row>
    <row r="12" spans="1:12" s="28" customFormat="1" x14ac:dyDescent="0.25">
      <c r="A12" s="23"/>
      <c r="B12" s="49"/>
      <c r="C12" s="6">
        <v>10</v>
      </c>
      <c r="D12" s="24"/>
      <c r="E12" s="24"/>
      <c r="F12" s="24"/>
      <c r="G12" s="50">
        <f t="shared" si="0"/>
        <v>0</v>
      </c>
      <c r="H12" s="51" t="str">
        <f t="shared" si="1"/>
        <v/>
      </c>
      <c r="I12" s="26"/>
      <c r="J12" s="24"/>
      <c r="K12" s="2"/>
      <c r="L12" s="2"/>
    </row>
    <row r="13" spans="1:12" s="28" customFormat="1" x14ac:dyDescent="0.25">
      <c r="A13" s="23"/>
      <c r="B13" s="24"/>
      <c r="C13" s="6">
        <v>11</v>
      </c>
      <c r="D13" s="24"/>
      <c r="E13" s="24"/>
      <c r="F13" s="24"/>
      <c r="G13" s="50">
        <f t="shared" si="0"/>
        <v>0</v>
      </c>
      <c r="H13" s="51" t="str">
        <f t="shared" ref="H13:H23" si="2">IF(G13&lt;&gt;0,D13/G13*60,"")</f>
        <v/>
      </c>
      <c r="I13" s="26"/>
      <c r="J13" s="24"/>
      <c r="K13" s="2"/>
      <c r="L13" s="2"/>
    </row>
    <row r="14" spans="1:12" s="28" customFormat="1" x14ac:dyDescent="0.25">
      <c r="A14" s="23"/>
      <c r="B14" s="24"/>
      <c r="C14" s="6">
        <v>12</v>
      </c>
      <c r="D14" s="24"/>
      <c r="E14" s="24"/>
      <c r="F14" s="24"/>
      <c r="G14" s="50">
        <f t="shared" si="0"/>
        <v>0</v>
      </c>
      <c r="H14" s="51" t="str">
        <f t="shared" si="2"/>
        <v/>
      </c>
      <c r="I14" s="26"/>
      <c r="J14" s="24"/>
      <c r="K14" s="2"/>
      <c r="L14" s="2"/>
    </row>
    <row r="15" spans="1:12" s="28" customFormat="1" x14ac:dyDescent="0.25">
      <c r="A15" s="23"/>
      <c r="B15" s="24"/>
      <c r="C15" s="6">
        <v>13</v>
      </c>
      <c r="D15" s="24"/>
      <c r="E15" s="24"/>
      <c r="F15" s="24"/>
      <c r="G15" s="50">
        <f t="shared" si="0"/>
        <v>0</v>
      </c>
      <c r="H15" s="51" t="str">
        <f t="shared" si="2"/>
        <v/>
      </c>
      <c r="I15" s="26"/>
      <c r="J15" s="24"/>
      <c r="K15" s="2"/>
      <c r="L15" s="2"/>
    </row>
    <row r="16" spans="1:12" s="28" customFormat="1" x14ac:dyDescent="0.25">
      <c r="A16" s="23"/>
      <c r="B16" s="24"/>
      <c r="C16" s="6">
        <v>14</v>
      </c>
      <c r="D16" s="24"/>
      <c r="E16" s="24"/>
      <c r="F16" s="24"/>
      <c r="G16" s="50">
        <f t="shared" si="0"/>
        <v>0</v>
      </c>
      <c r="H16" s="51" t="str">
        <f t="shared" si="2"/>
        <v/>
      </c>
      <c r="I16" s="26"/>
      <c r="J16" s="24"/>
      <c r="K16" s="2"/>
      <c r="L16" s="2"/>
    </row>
    <row r="17" spans="1:12" s="28" customFormat="1" x14ac:dyDescent="0.25">
      <c r="A17" s="23"/>
      <c r="B17" s="24"/>
      <c r="C17" s="6">
        <v>15</v>
      </c>
      <c r="D17" s="24"/>
      <c r="E17" s="24"/>
      <c r="F17" s="24"/>
      <c r="G17" s="50">
        <f t="shared" si="0"/>
        <v>0</v>
      </c>
      <c r="H17" s="51" t="str">
        <f t="shared" si="2"/>
        <v/>
      </c>
      <c r="I17" s="26"/>
      <c r="J17" s="24"/>
      <c r="K17" s="2"/>
      <c r="L17" s="2"/>
    </row>
    <row r="18" spans="1:12" x14ac:dyDescent="0.25">
      <c r="A18" s="23"/>
      <c r="B18" s="24"/>
      <c r="C18" s="6">
        <v>16</v>
      </c>
      <c r="D18" s="24"/>
      <c r="E18" s="24"/>
      <c r="F18" s="24"/>
      <c r="G18" s="50">
        <f t="shared" si="0"/>
        <v>0</v>
      </c>
      <c r="H18" s="51" t="str">
        <f t="shared" si="2"/>
        <v/>
      </c>
      <c r="I18" s="26"/>
      <c r="J18" s="24"/>
      <c r="K18" s="2"/>
      <c r="L18" s="2"/>
    </row>
    <row r="19" spans="1:12" x14ac:dyDescent="0.25">
      <c r="A19" s="23"/>
      <c r="B19" s="24"/>
      <c r="C19" s="6">
        <v>17</v>
      </c>
      <c r="D19" s="24"/>
      <c r="E19" s="24"/>
      <c r="F19" s="24"/>
      <c r="G19" s="50">
        <f t="shared" si="0"/>
        <v>0</v>
      </c>
      <c r="H19" s="51" t="str">
        <f t="shared" si="2"/>
        <v/>
      </c>
      <c r="I19" s="26"/>
      <c r="J19" s="24"/>
      <c r="K19" s="2"/>
      <c r="L19" s="2"/>
    </row>
    <row r="20" spans="1:12" x14ac:dyDescent="0.25">
      <c r="A20" s="23"/>
      <c r="B20" s="24"/>
      <c r="C20" s="6">
        <v>18</v>
      </c>
      <c r="D20" s="2"/>
      <c r="E20" s="2"/>
      <c r="F20" s="2"/>
      <c r="G20" s="50">
        <f t="shared" si="0"/>
        <v>0</v>
      </c>
      <c r="H20" s="51" t="str">
        <f t="shared" si="2"/>
        <v/>
      </c>
      <c r="I20" s="3"/>
      <c r="J20" s="24"/>
      <c r="K20" s="2"/>
      <c r="L20" s="2"/>
    </row>
    <row r="21" spans="1:12" x14ac:dyDescent="0.25">
      <c r="A21" s="23"/>
      <c r="B21" s="24"/>
      <c r="C21" s="6">
        <v>19</v>
      </c>
      <c r="D21" s="2"/>
      <c r="E21" s="2"/>
      <c r="F21" s="2"/>
      <c r="G21" s="50">
        <f t="shared" si="0"/>
        <v>0</v>
      </c>
      <c r="H21" s="51" t="str">
        <f t="shared" si="2"/>
        <v/>
      </c>
      <c r="I21" s="3"/>
      <c r="J21" s="24"/>
      <c r="K21" s="2"/>
      <c r="L21" s="2"/>
    </row>
    <row r="22" spans="1:12" x14ac:dyDescent="0.25">
      <c r="A22" s="4"/>
      <c r="B22" s="24"/>
      <c r="C22" s="6">
        <v>20</v>
      </c>
      <c r="D22" s="2"/>
      <c r="E22" s="2"/>
      <c r="F22" s="2"/>
      <c r="G22" s="50">
        <f t="shared" si="0"/>
        <v>0</v>
      </c>
      <c r="H22" s="51" t="str">
        <f t="shared" si="2"/>
        <v/>
      </c>
      <c r="I22" s="3"/>
      <c r="J22" s="24"/>
      <c r="K22" s="2"/>
      <c r="L22" s="2"/>
    </row>
    <row r="23" spans="1:12" x14ac:dyDescent="0.25">
      <c r="A23" s="4"/>
      <c r="B23" s="2"/>
      <c r="C23" s="6">
        <v>21</v>
      </c>
      <c r="D23" s="2"/>
      <c r="E23" s="2"/>
      <c r="F23" s="2"/>
      <c r="G23" s="50">
        <f t="shared" si="0"/>
        <v>0</v>
      </c>
      <c r="H23" s="51" t="str">
        <f t="shared" si="2"/>
        <v/>
      </c>
      <c r="I23" s="3"/>
      <c r="J23" s="24"/>
      <c r="K23" s="2"/>
      <c r="L23" s="2"/>
    </row>
    <row r="24" spans="1:12" x14ac:dyDescent="0.25">
      <c r="D24">
        <f>SUM(D3:D23)</f>
        <v>0</v>
      </c>
      <c r="I24" s="1">
        <f>SUM(I3:I23)</f>
        <v>0</v>
      </c>
      <c r="K24" s="1">
        <f>SUM(K3:K23)</f>
        <v>0</v>
      </c>
      <c r="L24" s="1">
        <f>SUM(L3:L23)</f>
        <v>0</v>
      </c>
    </row>
    <row r="25" spans="1:12" x14ac:dyDescent="0.25">
      <c r="A25" t="s">
        <v>29</v>
      </c>
      <c r="B25">
        <f>SUM(Juin!B25+Juil!D24)</f>
        <v>1047</v>
      </c>
      <c r="H25" s="1">
        <f>SUM(Juin!H25+Juil!I24)</f>
        <v>2227</v>
      </c>
      <c r="K25" s="1">
        <f>SUM(Juin!K25+Juil!K24)</f>
        <v>0</v>
      </c>
      <c r="L25" s="1">
        <f>SUM(Juin!L25+Juil!L24)</f>
        <v>1047</v>
      </c>
    </row>
    <row r="26" spans="1:12" x14ac:dyDescent="0.25">
      <c r="J26" t="s">
        <v>22</v>
      </c>
      <c r="K26">
        <v>1843</v>
      </c>
      <c r="L26">
        <v>9688</v>
      </c>
    </row>
    <row r="27" spans="1:12" x14ac:dyDescent="0.25">
      <c r="J27" t="s">
        <v>24</v>
      </c>
      <c r="K27">
        <v>2920</v>
      </c>
      <c r="L27">
        <v>6089</v>
      </c>
    </row>
    <row r="28" spans="1:12" x14ac:dyDescent="0.25">
      <c r="J28" t="s">
        <v>25</v>
      </c>
      <c r="K28">
        <v>7538</v>
      </c>
      <c r="L28">
        <v>3488</v>
      </c>
    </row>
    <row r="29" spans="1:12" x14ac:dyDescent="0.25">
      <c r="J29" t="s">
        <v>27</v>
      </c>
      <c r="K29">
        <v>624</v>
      </c>
      <c r="L29">
        <v>4941</v>
      </c>
    </row>
    <row r="30" spans="1:12" x14ac:dyDescent="0.25">
      <c r="J30" t="s">
        <v>30</v>
      </c>
      <c r="K30">
        <v>289</v>
      </c>
      <c r="L30">
        <v>6903</v>
      </c>
    </row>
    <row r="31" spans="1:12" x14ac:dyDescent="0.25">
      <c r="J31" t="s">
        <v>31</v>
      </c>
    </row>
    <row r="33" spans="10:12" x14ac:dyDescent="0.25">
      <c r="J33" t="s">
        <v>23</v>
      </c>
      <c r="K33">
        <f>SUM(K26:K32)</f>
        <v>13214</v>
      </c>
      <c r="L33">
        <f>SUM(L26:L32)</f>
        <v>31109</v>
      </c>
    </row>
  </sheetData>
  <mergeCells count="2">
    <mergeCell ref="E2:G2"/>
    <mergeCell ref="A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6"/>
  <sheetViews>
    <sheetView zoomScaleNormal="100" workbookViewId="0">
      <selection activeCell="I3" sqref="I3:L12"/>
    </sheetView>
  </sheetViews>
  <sheetFormatPr baseColWidth="10" defaultRowHeight="15" x14ac:dyDescent="0.25"/>
  <cols>
    <col min="1" max="1" width="12.28515625" customWidth="1"/>
    <col min="2" max="2" width="34.28515625" customWidth="1"/>
    <col min="3" max="3" width="4" customWidth="1"/>
    <col min="4" max="4" width="12" customWidth="1"/>
    <col min="5" max="5" width="5.7109375" customWidth="1"/>
    <col min="6" max="6" width="5.85546875" customWidth="1"/>
    <col min="7" max="7" width="5.7109375" customWidth="1"/>
    <col min="8" max="9" width="11.42578125" style="1"/>
    <col min="10" max="10" width="18.5703125" customWidth="1"/>
    <col min="11" max="11" width="8.42578125" customWidth="1"/>
    <col min="12" max="12" width="8" customWidth="1"/>
  </cols>
  <sheetData>
    <row r="1" spans="1:12" ht="27" thickBot="1" x14ac:dyDescent="0.45">
      <c r="A1" s="55" t="s">
        <v>14</v>
      </c>
      <c r="B1" s="55"/>
      <c r="C1" s="55"/>
      <c r="D1" s="55"/>
      <c r="E1" s="55"/>
      <c r="F1" s="55"/>
      <c r="G1" s="55"/>
      <c r="H1" s="13">
        <f>SUM(Janv!H1)</f>
        <v>2026</v>
      </c>
      <c r="I1" s="13"/>
      <c r="J1" s="13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54" t="s">
        <v>3</v>
      </c>
      <c r="F2" s="54"/>
      <c r="G2" s="54"/>
      <c r="H2" s="10" t="s">
        <v>4</v>
      </c>
      <c r="I2" s="16" t="s">
        <v>19</v>
      </c>
      <c r="J2" s="11" t="s">
        <v>5</v>
      </c>
      <c r="K2" s="33" t="s">
        <v>20</v>
      </c>
      <c r="L2" s="34" t="s">
        <v>21</v>
      </c>
    </row>
    <row r="3" spans="1:12" x14ac:dyDescent="0.25">
      <c r="A3" s="5"/>
      <c r="B3" s="45"/>
      <c r="C3" s="6">
        <v>1</v>
      </c>
      <c r="D3" s="6"/>
      <c r="E3" s="6"/>
      <c r="F3" s="6"/>
      <c r="G3" s="2">
        <f t="shared" ref="G3:G22" si="0">SUM(E3*60+F3)</f>
        <v>0</v>
      </c>
      <c r="H3" s="7" t="e">
        <f>SUM(D3/G3*60)</f>
        <v>#DIV/0!</v>
      </c>
      <c r="I3" s="7"/>
      <c r="J3" s="24"/>
      <c r="K3" s="6"/>
      <c r="L3" s="6"/>
    </row>
    <row r="4" spans="1:12" x14ac:dyDescent="0.25">
      <c r="A4" s="4"/>
      <c r="B4" s="52"/>
      <c r="C4" s="6">
        <v>2</v>
      </c>
      <c r="D4" s="2"/>
      <c r="E4" s="2"/>
      <c r="F4" s="2"/>
      <c r="G4" s="2">
        <f t="shared" si="0"/>
        <v>0</v>
      </c>
      <c r="H4" s="3" t="e">
        <f t="shared" ref="H4:H23" si="1">SUM(D4/G4*60)</f>
        <v>#DIV/0!</v>
      </c>
      <c r="I4" s="7"/>
      <c r="J4" s="24"/>
      <c r="K4" s="2"/>
      <c r="L4" s="2"/>
    </row>
    <row r="5" spans="1:12" x14ac:dyDescent="0.25">
      <c r="A5" s="4"/>
      <c r="B5" s="46"/>
      <c r="C5" s="6">
        <v>3</v>
      </c>
      <c r="D5" s="2"/>
      <c r="E5" s="2"/>
      <c r="F5" s="2"/>
      <c r="G5" s="2">
        <f t="shared" si="0"/>
        <v>0</v>
      </c>
      <c r="H5" s="3" t="e">
        <f t="shared" si="1"/>
        <v>#DIV/0!</v>
      </c>
      <c r="I5" s="3"/>
      <c r="J5" s="24"/>
      <c r="K5" s="2"/>
      <c r="L5" s="2"/>
    </row>
    <row r="6" spans="1:12" x14ac:dyDescent="0.25">
      <c r="A6" s="4"/>
      <c r="B6" s="46"/>
      <c r="C6" s="6">
        <v>4</v>
      </c>
      <c r="D6" s="2"/>
      <c r="E6" s="2"/>
      <c r="F6" s="2"/>
      <c r="G6" s="2">
        <f t="shared" si="0"/>
        <v>0</v>
      </c>
      <c r="H6" s="3" t="e">
        <f t="shared" si="1"/>
        <v>#DIV/0!</v>
      </c>
      <c r="I6" s="3"/>
      <c r="J6" s="2"/>
      <c r="K6" s="2"/>
      <c r="L6" s="2"/>
    </row>
    <row r="7" spans="1:12" x14ac:dyDescent="0.25">
      <c r="A7" s="4"/>
      <c r="B7" s="45"/>
      <c r="C7" s="6">
        <v>5</v>
      </c>
      <c r="D7" s="2"/>
      <c r="E7" s="2"/>
      <c r="F7" s="2"/>
      <c r="G7" s="2">
        <f t="shared" si="0"/>
        <v>0</v>
      </c>
      <c r="H7" s="3" t="e">
        <f t="shared" si="1"/>
        <v>#DIV/0!</v>
      </c>
      <c r="I7" s="3"/>
      <c r="J7" s="2"/>
      <c r="K7" s="2"/>
      <c r="L7" s="2"/>
    </row>
    <row r="8" spans="1:12" x14ac:dyDescent="0.25">
      <c r="A8" s="4"/>
      <c r="B8" s="45"/>
      <c r="C8" s="6">
        <v>6</v>
      </c>
      <c r="D8" s="2"/>
      <c r="E8" s="2"/>
      <c r="F8" s="2"/>
      <c r="G8" s="2">
        <f t="shared" si="0"/>
        <v>0</v>
      </c>
      <c r="H8" s="3" t="e">
        <f t="shared" si="1"/>
        <v>#DIV/0!</v>
      </c>
      <c r="I8" s="3"/>
      <c r="J8" s="2"/>
      <c r="K8" s="2"/>
      <c r="L8" s="2"/>
    </row>
    <row r="9" spans="1:12" x14ac:dyDescent="0.25">
      <c r="A9" s="4"/>
      <c r="B9" s="53"/>
      <c r="C9" s="6">
        <v>7</v>
      </c>
      <c r="D9" s="2"/>
      <c r="E9" s="2"/>
      <c r="F9" s="2"/>
      <c r="G9" s="2">
        <f t="shared" si="0"/>
        <v>0</v>
      </c>
      <c r="H9" s="3" t="e">
        <f t="shared" si="1"/>
        <v>#DIV/0!</v>
      </c>
      <c r="I9" s="3"/>
      <c r="J9" s="2"/>
      <c r="K9" s="2"/>
      <c r="L9" s="2"/>
    </row>
    <row r="10" spans="1:12" s="22" customFormat="1" x14ac:dyDescent="0.25">
      <c r="A10" s="4"/>
      <c r="B10" s="2"/>
      <c r="C10" s="41">
        <v>8</v>
      </c>
      <c r="D10" s="40"/>
      <c r="E10" s="40"/>
      <c r="F10" s="40"/>
      <c r="G10" s="40">
        <f t="shared" si="0"/>
        <v>0</v>
      </c>
      <c r="H10" s="42" t="e">
        <f t="shared" si="1"/>
        <v>#DIV/0!</v>
      </c>
      <c r="I10" s="43"/>
      <c r="J10" s="2"/>
      <c r="K10" s="2"/>
      <c r="L10" s="2"/>
    </row>
    <row r="11" spans="1:12" s="22" customFormat="1" x14ac:dyDescent="0.25">
      <c r="A11" s="44"/>
      <c r="B11" s="40"/>
      <c r="C11" s="41">
        <v>9</v>
      </c>
      <c r="D11" s="40"/>
      <c r="E11" s="40"/>
      <c r="F11" s="40"/>
      <c r="G11" s="40">
        <f t="shared" si="0"/>
        <v>0</v>
      </c>
      <c r="H11" s="42" t="e">
        <f t="shared" si="1"/>
        <v>#DIV/0!</v>
      </c>
      <c r="I11" s="42"/>
      <c r="J11" s="2"/>
      <c r="K11" s="2"/>
      <c r="L11" s="2"/>
    </row>
    <row r="12" spans="1:12" x14ac:dyDescent="0.25">
      <c r="A12" s="4"/>
      <c r="B12" s="2"/>
      <c r="C12" s="6">
        <v>10</v>
      </c>
      <c r="D12" s="2"/>
      <c r="E12" s="2"/>
      <c r="F12" s="2"/>
      <c r="G12" s="2">
        <f t="shared" ref="G12" si="2">SUM(E12*60+F12)</f>
        <v>0</v>
      </c>
      <c r="H12" s="3" t="e">
        <f t="shared" ref="H12" si="3">SUM(D12/G12*60)</f>
        <v>#DIV/0!</v>
      </c>
      <c r="I12" s="3"/>
      <c r="J12" s="6"/>
      <c r="K12" s="2"/>
      <c r="L12" s="2"/>
    </row>
    <row r="13" spans="1:12" x14ac:dyDescent="0.25">
      <c r="A13" s="4"/>
      <c r="B13" s="2"/>
      <c r="C13" s="6">
        <v>11</v>
      </c>
      <c r="D13" s="2"/>
      <c r="E13" s="2"/>
      <c r="F13" s="2"/>
      <c r="G13" s="2">
        <f t="shared" si="0"/>
        <v>0</v>
      </c>
      <c r="H13" s="3" t="e">
        <f t="shared" si="1"/>
        <v>#DIV/0!</v>
      </c>
      <c r="I13" s="3"/>
      <c r="J13" s="6"/>
      <c r="K13" s="2"/>
      <c r="L13" s="2"/>
    </row>
    <row r="14" spans="1:12" x14ac:dyDescent="0.25">
      <c r="A14" s="4"/>
      <c r="B14" s="2"/>
      <c r="C14" s="6">
        <v>12</v>
      </c>
      <c r="D14" s="2"/>
      <c r="E14" s="2"/>
      <c r="F14" s="2"/>
      <c r="G14" s="2">
        <f t="shared" si="0"/>
        <v>0</v>
      </c>
      <c r="H14" s="3" t="e">
        <f t="shared" si="1"/>
        <v>#DIV/0!</v>
      </c>
      <c r="I14" s="3"/>
      <c r="J14" s="2"/>
      <c r="K14" s="2"/>
      <c r="L14" s="2"/>
    </row>
    <row r="15" spans="1:12" x14ac:dyDescent="0.25">
      <c r="A15" s="4"/>
      <c r="B15" s="2"/>
      <c r="C15" s="6">
        <v>13</v>
      </c>
      <c r="D15" s="2"/>
      <c r="E15" s="2"/>
      <c r="F15" s="2"/>
      <c r="G15" s="2">
        <f t="shared" si="0"/>
        <v>0</v>
      </c>
      <c r="H15" s="3" t="e">
        <f t="shared" si="1"/>
        <v>#DIV/0!</v>
      </c>
      <c r="I15" s="3"/>
      <c r="J15" s="2"/>
      <c r="K15" s="2"/>
      <c r="L15" s="2"/>
    </row>
    <row r="16" spans="1:12" x14ac:dyDescent="0.25">
      <c r="A16" s="4"/>
      <c r="B16" s="2"/>
      <c r="C16" s="6">
        <v>14</v>
      </c>
      <c r="D16" s="2"/>
      <c r="E16" s="2"/>
      <c r="F16" s="2"/>
      <c r="G16" s="2">
        <f t="shared" si="0"/>
        <v>0</v>
      </c>
      <c r="H16" s="3" t="e">
        <f t="shared" si="1"/>
        <v>#DIV/0!</v>
      </c>
      <c r="I16" s="3"/>
      <c r="J16" s="2"/>
      <c r="K16" s="2"/>
      <c r="L16" s="2"/>
    </row>
    <row r="17" spans="1:12" x14ac:dyDescent="0.25">
      <c r="A17" s="4"/>
      <c r="B17" s="2"/>
      <c r="C17" s="6">
        <v>15</v>
      </c>
      <c r="D17" s="2"/>
      <c r="E17" s="2"/>
      <c r="F17" s="2"/>
      <c r="G17" s="2">
        <f t="shared" si="0"/>
        <v>0</v>
      </c>
      <c r="H17" s="3" t="e">
        <f t="shared" si="1"/>
        <v>#DIV/0!</v>
      </c>
      <c r="I17" s="3"/>
      <c r="J17" s="2"/>
      <c r="K17" s="2"/>
      <c r="L17" s="2"/>
    </row>
    <row r="18" spans="1:12" x14ac:dyDescent="0.25">
      <c r="A18" s="4"/>
      <c r="B18" s="2"/>
      <c r="C18" s="6">
        <v>16</v>
      </c>
      <c r="D18" s="2"/>
      <c r="E18" s="2"/>
      <c r="F18" s="2"/>
      <c r="G18" s="2">
        <f t="shared" si="0"/>
        <v>0</v>
      </c>
      <c r="H18" s="3" t="e">
        <f t="shared" si="1"/>
        <v>#DIV/0!</v>
      </c>
      <c r="I18" s="3"/>
      <c r="J18" s="2"/>
      <c r="K18" s="2"/>
      <c r="L18" s="2"/>
    </row>
    <row r="19" spans="1:12" x14ac:dyDescent="0.25">
      <c r="A19" s="4"/>
      <c r="B19" s="2"/>
      <c r="C19" s="6">
        <v>17</v>
      </c>
      <c r="D19" s="2"/>
      <c r="E19" s="2"/>
      <c r="F19" s="2"/>
      <c r="G19" s="2">
        <f t="shared" si="0"/>
        <v>0</v>
      </c>
      <c r="H19" s="3" t="e">
        <f t="shared" si="1"/>
        <v>#DIV/0!</v>
      </c>
      <c r="I19" s="3"/>
      <c r="J19" s="2"/>
      <c r="K19" s="2"/>
      <c r="L19" s="2"/>
    </row>
    <row r="20" spans="1:12" x14ac:dyDescent="0.25">
      <c r="A20" s="4"/>
      <c r="B20" s="2"/>
      <c r="C20" s="6">
        <v>18</v>
      </c>
      <c r="D20" s="2"/>
      <c r="E20" s="2"/>
      <c r="F20" s="2"/>
      <c r="G20" s="2">
        <f t="shared" si="0"/>
        <v>0</v>
      </c>
      <c r="H20" s="3" t="e">
        <f t="shared" si="1"/>
        <v>#DIV/0!</v>
      </c>
      <c r="I20" s="3"/>
      <c r="J20" s="2"/>
      <c r="K20" s="2"/>
      <c r="L20" s="2"/>
    </row>
    <row r="21" spans="1:12" x14ac:dyDescent="0.25">
      <c r="A21" s="4"/>
      <c r="B21" s="17"/>
      <c r="C21" s="6">
        <v>19</v>
      </c>
      <c r="D21" s="2"/>
      <c r="E21" s="2"/>
      <c r="F21" s="2"/>
      <c r="G21" s="2">
        <f t="shared" si="0"/>
        <v>0</v>
      </c>
      <c r="H21" s="3" t="e">
        <f t="shared" si="1"/>
        <v>#DIV/0!</v>
      </c>
      <c r="I21" s="3"/>
      <c r="J21" s="2"/>
      <c r="K21" s="2"/>
      <c r="L21" s="2"/>
    </row>
    <row r="22" spans="1:12" x14ac:dyDescent="0.25">
      <c r="A22" s="4"/>
      <c r="B22" s="20"/>
      <c r="C22" s="6">
        <v>20</v>
      </c>
      <c r="D22" s="2"/>
      <c r="E22" s="2"/>
      <c r="F22" s="2"/>
      <c r="G22" s="2">
        <f t="shared" si="0"/>
        <v>0</v>
      </c>
      <c r="H22" s="3" t="e">
        <f t="shared" si="1"/>
        <v>#DIV/0!</v>
      </c>
      <c r="I22" s="3"/>
      <c r="J22" s="2"/>
      <c r="K22" s="2"/>
      <c r="L22" s="2"/>
    </row>
    <row r="23" spans="1:12" x14ac:dyDescent="0.25">
      <c r="A23" s="4"/>
      <c r="B23" s="2"/>
      <c r="C23" s="2">
        <v>21</v>
      </c>
      <c r="D23" s="2"/>
      <c r="E23" s="2"/>
      <c r="F23" s="2"/>
      <c r="G23" s="2">
        <f t="shared" ref="G23" si="4">SUM(E23*60+F23)</f>
        <v>0</v>
      </c>
      <c r="H23" s="3" t="e">
        <f t="shared" si="1"/>
        <v>#DIV/0!</v>
      </c>
      <c r="I23" s="3"/>
      <c r="J23" s="2"/>
      <c r="K23" s="2"/>
      <c r="L23" s="2"/>
    </row>
    <row r="24" spans="1:12" x14ac:dyDescent="0.25">
      <c r="A24" s="18"/>
      <c r="D24">
        <f>SUM(D2:D23)</f>
        <v>0</v>
      </c>
      <c r="I24" s="1">
        <f>SUM(I3:I23)</f>
        <v>0</v>
      </c>
      <c r="K24" s="1">
        <f>SUM(K1:K23)</f>
        <v>0</v>
      </c>
      <c r="L24" s="1">
        <f>SUM(L1:L23)</f>
        <v>0</v>
      </c>
    </row>
    <row r="25" spans="1:12" x14ac:dyDescent="0.25">
      <c r="A25" t="s">
        <v>29</v>
      </c>
      <c r="B25">
        <f>SUM(Juil!B25+Aout!D24)</f>
        <v>1047</v>
      </c>
      <c r="H25" s="1">
        <f>SUM(Juil!H25+Aout!I24)</f>
        <v>2227</v>
      </c>
      <c r="K25" s="1">
        <f>SUM(Juil!K25+Aout!K24)</f>
        <v>0</v>
      </c>
      <c r="L25" s="1">
        <f>SUM(Juil!L25+Aout!L24)</f>
        <v>1047</v>
      </c>
    </row>
    <row r="26" spans="1:12" x14ac:dyDescent="0.25">
      <c r="J26" t="s">
        <v>22</v>
      </c>
      <c r="K26">
        <v>1843</v>
      </c>
      <c r="L26">
        <v>9688</v>
      </c>
    </row>
    <row r="27" spans="1:12" x14ac:dyDescent="0.25">
      <c r="J27" t="s">
        <v>24</v>
      </c>
      <c r="K27">
        <v>2920</v>
      </c>
      <c r="L27">
        <v>6089</v>
      </c>
    </row>
    <row r="28" spans="1:12" x14ac:dyDescent="0.25">
      <c r="J28" t="s">
        <v>25</v>
      </c>
      <c r="K28">
        <v>7538</v>
      </c>
      <c r="L28">
        <v>3488</v>
      </c>
    </row>
    <row r="29" spans="1:12" x14ac:dyDescent="0.25">
      <c r="J29" t="s">
        <v>27</v>
      </c>
      <c r="K29">
        <v>624</v>
      </c>
      <c r="L29">
        <v>4941</v>
      </c>
    </row>
    <row r="30" spans="1:12" x14ac:dyDescent="0.25">
      <c r="J30" t="s">
        <v>30</v>
      </c>
      <c r="K30">
        <v>289</v>
      </c>
      <c r="L30">
        <v>6903</v>
      </c>
    </row>
    <row r="31" spans="1:12" x14ac:dyDescent="0.25">
      <c r="J31" t="s">
        <v>31</v>
      </c>
    </row>
    <row r="33" spans="4:12" x14ac:dyDescent="0.25">
      <c r="J33" t="s">
        <v>23</v>
      </c>
      <c r="K33">
        <f>SUM(K26:K32)</f>
        <v>13214</v>
      </c>
      <c r="L33">
        <f>SUM(L26:L32)</f>
        <v>31109</v>
      </c>
    </row>
    <row r="36" spans="4:12" x14ac:dyDescent="0.25">
      <c r="D36" s="1"/>
    </row>
  </sheetData>
  <mergeCells count="2">
    <mergeCell ref="E2:G2"/>
    <mergeCell ref="A1:G1"/>
  </mergeCells>
  <pageMargins left="0.7" right="0.7" top="0.75" bottom="0.75" header="0.3" footer="0.3"/>
  <pageSetup paperSize="9" orientation="portrait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3"/>
  <sheetViews>
    <sheetView workbookViewId="0">
      <selection activeCell="I3" sqref="I3:L9"/>
    </sheetView>
  </sheetViews>
  <sheetFormatPr baseColWidth="10" defaultRowHeight="15" x14ac:dyDescent="0.25"/>
  <cols>
    <col min="1" max="1" width="12.5703125" customWidth="1"/>
    <col min="2" max="2" width="34.28515625" customWidth="1"/>
    <col min="3" max="3" width="4" customWidth="1"/>
    <col min="4" max="4" width="12" customWidth="1"/>
    <col min="5" max="5" width="5.7109375" customWidth="1"/>
    <col min="6" max="6" width="5.85546875" customWidth="1"/>
    <col min="7" max="7" width="5.7109375" customWidth="1"/>
    <col min="8" max="9" width="11.42578125" style="1"/>
    <col min="10" max="10" width="16.42578125" customWidth="1"/>
    <col min="11" max="12" width="8.42578125" customWidth="1"/>
  </cols>
  <sheetData>
    <row r="1" spans="1:12" ht="27" thickBot="1" x14ac:dyDescent="0.45">
      <c r="A1" s="55" t="s">
        <v>15</v>
      </c>
      <c r="B1" s="55"/>
      <c r="C1" s="55"/>
      <c r="D1" s="55"/>
      <c r="E1" s="55"/>
      <c r="F1" s="55"/>
      <c r="G1" s="55"/>
      <c r="H1" s="13">
        <f>SUM(Janv!H1)</f>
        <v>2026</v>
      </c>
      <c r="I1" s="13"/>
      <c r="J1" s="13"/>
    </row>
    <row r="2" spans="1:12" ht="19.5" thickBot="1" x14ac:dyDescent="0.35">
      <c r="A2" s="8" t="s">
        <v>0</v>
      </c>
      <c r="B2" s="12" t="s">
        <v>1</v>
      </c>
      <c r="C2" s="9" t="s">
        <v>6</v>
      </c>
      <c r="D2" s="9" t="s">
        <v>2</v>
      </c>
      <c r="E2" s="54" t="s">
        <v>3</v>
      </c>
      <c r="F2" s="54"/>
      <c r="G2" s="54"/>
      <c r="H2" s="10" t="s">
        <v>4</v>
      </c>
      <c r="I2" s="16" t="s">
        <v>19</v>
      </c>
      <c r="J2" s="11" t="s">
        <v>5</v>
      </c>
      <c r="K2" s="33" t="s">
        <v>20</v>
      </c>
      <c r="L2" s="34" t="s">
        <v>21</v>
      </c>
    </row>
    <row r="3" spans="1:12" x14ac:dyDescent="0.25">
      <c r="A3" s="5"/>
      <c r="B3" s="2"/>
      <c r="C3" s="6">
        <v>1</v>
      </c>
      <c r="D3" s="6"/>
      <c r="E3" s="6"/>
      <c r="F3" s="6"/>
      <c r="G3" s="6">
        <f>SUM(E3*60+F3)</f>
        <v>0</v>
      </c>
      <c r="H3" s="7" t="e">
        <f>SUM(D3/G3*60)</f>
        <v>#DIV/0!</v>
      </c>
      <c r="I3" s="7"/>
      <c r="J3" s="2"/>
      <c r="K3" s="6"/>
      <c r="L3" s="6"/>
    </row>
    <row r="4" spans="1:12" x14ac:dyDescent="0.25">
      <c r="A4" s="4"/>
      <c r="B4" s="2"/>
      <c r="C4" s="6">
        <v>2</v>
      </c>
      <c r="D4" s="2"/>
      <c r="E4" s="2"/>
      <c r="F4" s="2"/>
      <c r="G4" s="2">
        <f t="shared" ref="G4:G23" si="0">SUM(E4*60+F4)</f>
        <v>0</v>
      </c>
      <c r="H4" s="3" t="e">
        <f t="shared" ref="H4:H23" si="1">SUM(D4/G4*60)</f>
        <v>#DIV/0!</v>
      </c>
      <c r="I4" s="7"/>
      <c r="J4" s="2"/>
      <c r="K4" s="2"/>
      <c r="L4" s="2"/>
    </row>
    <row r="5" spans="1:12" x14ac:dyDescent="0.25">
      <c r="A5" s="4"/>
      <c r="B5" s="2"/>
      <c r="C5" s="6">
        <v>3</v>
      </c>
      <c r="D5" s="2"/>
      <c r="E5" s="2"/>
      <c r="F5" s="2"/>
      <c r="G5" s="2">
        <f t="shared" si="0"/>
        <v>0</v>
      </c>
      <c r="H5" s="3" t="e">
        <f t="shared" si="1"/>
        <v>#DIV/0!</v>
      </c>
      <c r="I5" s="3"/>
      <c r="J5" s="2"/>
      <c r="K5" s="2"/>
      <c r="L5" s="2"/>
    </row>
    <row r="6" spans="1:12" x14ac:dyDescent="0.25">
      <c r="A6" s="4"/>
      <c r="B6" s="2"/>
      <c r="C6" s="6">
        <v>2</v>
      </c>
      <c r="D6" s="2"/>
      <c r="E6" s="2"/>
      <c r="F6" s="2"/>
      <c r="G6" s="2">
        <f t="shared" ref="G6" si="2">SUM(E6*60+F6)</f>
        <v>0</v>
      </c>
      <c r="H6" s="3" t="e">
        <f t="shared" ref="H6" si="3">SUM(D6/G6*60)</f>
        <v>#DIV/0!</v>
      </c>
      <c r="I6" s="3"/>
      <c r="J6" s="2"/>
      <c r="K6" s="2"/>
      <c r="L6" s="2"/>
    </row>
    <row r="7" spans="1:12" x14ac:dyDescent="0.25">
      <c r="A7" s="4"/>
      <c r="B7" s="2"/>
      <c r="C7" s="6">
        <v>5</v>
      </c>
      <c r="D7" s="2"/>
      <c r="E7" s="2"/>
      <c r="F7" s="2"/>
      <c r="G7" s="2">
        <f t="shared" si="0"/>
        <v>0</v>
      </c>
      <c r="H7" s="3" t="e">
        <f t="shared" si="1"/>
        <v>#DIV/0!</v>
      </c>
      <c r="I7" s="3"/>
      <c r="J7" s="2"/>
      <c r="K7" s="2"/>
      <c r="L7" s="2"/>
    </row>
    <row r="8" spans="1:12" x14ac:dyDescent="0.25">
      <c r="A8" s="4"/>
      <c r="B8" s="2"/>
      <c r="C8" s="6">
        <v>6</v>
      </c>
      <c r="D8" s="2"/>
      <c r="E8" s="2"/>
      <c r="F8" s="2"/>
      <c r="G8" s="2">
        <f t="shared" si="0"/>
        <v>0</v>
      </c>
      <c r="H8" s="3" t="e">
        <f t="shared" si="1"/>
        <v>#DIV/0!</v>
      </c>
      <c r="I8" s="3"/>
      <c r="J8" s="2"/>
      <c r="K8" s="2"/>
      <c r="L8" s="2"/>
    </row>
    <row r="9" spans="1:12" x14ac:dyDescent="0.25">
      <c r="A9" s="4"/>
      <c r="B9" s="2"/>
      <c r="C9" s="6">
        <v>7</v>
      </c>
      <c r="D9" s="2"/>
      <c r="E9" s="2"/>
      <c r="F9" s="2"/>
      <c r="G9" s="2">
        <f t="shared" si="0"/>
        <v>0</v>
      </c>
      <c r="H9" s="3" t="e">
        <f t="shared" si="1"/>
        <v>#DIV/0!</v>
      </c>
      <c r="I9" s="3"/>
      <c r="J9" s="2"/>
      <c r="K9" s="2"/>
      <c r="L9" s="2"/>
    </row>
    <row r="10" spans="1:12" x14ac:dyDescent="0.25">
      <c r="A10" s="4"/>
      <c r="B10" s="2"/>
      <c r="C10" s="6">
        <v>8</v>
      </c>
      <c r="D10" s="2"/>
      <c r="E10" s="2"/>
      <c r="F10" s="2"/>
      <c r="G10" s="2">
        <f t="shared" si="0"/>
        <v>0</v>
      </c>
      <c r="H10" s="3" t="e">
        <f t="shared" si="1"/>
        <v>#DIV/0!</v>
      </c>
      <c r="I10" s="7"/>
      <c r="J10" s="2"/>
      <c r="K10" s="2"/>
      <c r="L10" s="2"/>
    </row>
    <row r="11" spans="1:12" x14ac:dyDescent="0.25">
      <c r="A11" s="4"/>
      <c r="B11" s="2"/>
      <c r="C11" s="6">
        <v>9</v>
      </c>
      <c r="D11" s="2"/>
      <c r="E11" s="2"/>
      <c r="F11" s="2"/>
      <c r="G11" s="2">
        <f t="shared" si="0"/>
        <v>0</v>
      </c>
      <c r="H11" s="3" t="e">
        <f t="shared" si="1"/>
        <v>#DIV/0!</v>
      </c>
      <c r="I11" s="3"/>
      <c r="J11" s="2"/>
      <c r="K11" s="2"/>
      <c r="L11" s="2"/>
    </row>
    <row r="12" spans="1:12" x14ac:dyDescent="0.25">
      <c r="A12" s="4"/>
      <c r="B12" s="2"/>
      <c r="C12" s="6">
        <v>10</v>
      </c>
      <c r="D12" s="2"/>
      <c r="E12" s="2"/>
      <c r="F12" s="2"/>
      <c r="G12" s="2">
        <f t="shared" si="0"/>
        <v>0</v>
      </c>
      <c r="H12" s="3" t="e">
        <f t="shared" si="1"/>
        <v>#DIV/0!</v>
      </c>
      <c r="I12" s="3"/>
      <c r="J12" s="2"/>
      <c r="K12" s="2"/>
      <c r="L12" s="2"/>
    </row>
    <row r="13" spans="1:12" x14ac:dyDescent="0.25">
      <c r="A13" s="4"/>
      <c r="B13" s="2"/>
      <c r="C13" s="6">
        <v>11</v>
      </c>
      <c r="D13" s="2"/>
      <c r="E13" s="2"/>
      <c r="F13" s="2"/>
      <c r="G13" s="2">
        <f t="shared" si="0"/>
        <v>0</v>
      </c>
      <c r="H13" s="3" t="e">
        <f t="shared" si="1"/>
        <v>#DIV/0!</v>
      </c>
      <c r="I13" s="3"/>
      <c r="J13" s="2"/>
      <c r="K13" s="2"/>
      <c r="L13" s="2"/>
    </row>
    <row r="14" spans="1:12" x14ac:dyDescent="0.25">
      <c r="A14" s="4"/>
      <c r="B14" s="2"/>
      <c r="C14" s="6">
        <v>12</v>
      </c>
      <c r="D14" s="2"/>
      <c r="E14" s="2"/>
      <c r="F14" s="2"/>
      <c r="G14" s="2">
        <f t="shared" si="0"/>
        <v>0</v>
      </c>
      <c r="H14" s="3" t="e">
        <f t="shared" si="1"/>
        <v>#DIV/0!</v>
      </c>
      <c r="I14" s="3"/>
      <c r="J14" s="2"/>
      <c r="K14" s="2"/>
      <c r="L14" s="2"/>
    </row>
    <row r="15" spans="1:12" x14ac:dyDescent="0.25">
      <c r="A15" s="4"/>
      <c r="B15" s="2"/>
      <c r="C15" s="6">
        <v>13</v>
      </c>
      <c r="D15" s="2"/>
      <c r="E15" s="2"/>
      <c r="F15" s="2"/>
      <c r="G15" s="2">
        <f t="shared" si="0"/>
        <v>0</v>
      </c>
      <c r="H15" s="3" t="e">
        <f t="shared" si="1"/>
        <v>#DIV/0!</v>
      </c>
      <c r="I15" s="3"/>
      <c r="J15" s="2"/>
      <c r="K15" s="2"/>
      <c r="L15" s="2"/>
    </row>
    <row r="16" spans="1:12" x14ac:dyDescent="0.25">
      <c r="A16" s="4"/>
      <c r="B16" s="2"/>
      <c r="C16" s="6">
        <v>14</v>
      </c>
      <c r="D16" s="2"/>
      <c r="E16" s="2"/>
      <c r="F16" s="2"/>
      <c r="G16" s="2">
        <f t="shared" si="0"/>
        <v>0</v>
      </c>
      <c r="H16" s="3" t="e">
        <f t="shared" si="1"/>
        <v>#DIV/0!</v>
      </c>
      <c r="I16" s="3"/>
      <c r="J16" s="2"/>
      <c r="K16" s="2"/>
      <c r="L16" s="2"/>
    </row>
    <row r="17" spans="1:12" x14ac:dyDescent="0.25">
      <c r="A17" s="4"/>
      <c r="B17" s="2"/>
      <c r="C17" s="6">
        <v>15</v>
      </c>
      <c r="D17" s="2"/>
      <c r="E17" s="2"/>
      <c r="F17" s="2"/>
      <c r="G17" s="2">
        <f t="shared" si="0"/>
        <v>0</v>
      </c>
      <c r="H17" s="3" t="e">
        <f t="shared" si="1"/>
        <v>#DIV/0!</v>
      </c>
      <c r="I17" s="3"/>
      <c r="J17" s="2"/>
      <c r="K17" s="2"/>
      <c r="L17" s="2"/>
    </row>
    <row r="18" spans="1:12" x14ac:dyDescent="0.25">
      <c r="A18" s="4"/>
      <c r="B18" s="2"/>
      <c r="C18" s="6">
        <v>16</v>
      </c>
      <c r="D18" s="2"/>
      <c r="E18" s="2"/>
      <c r="F18" s="2"/>
      <c r="G18" s="2">
        <f t="shared" si="0"/>
        <v>0</v>
      </c>
      <c r="H18" s="3" t="e">
        <f t="shared" si="1"/>
        <v>#DIV/0!</v>
      </c>
      <c r="I18" s="3"/>
      <c r="J18" s="2"/>
      <c r="K18" s="2"/>
      <c r="L18" s="2"/>
    </row>
    <row r="19" spans="1:12" x14ac:dyDescent="0.25">
      <c r="A19" s="4"/>
      <c r="B19" s="2"/>
      <c r="C19" s="6">
        <v>17</v>
      </c>
      <c r="D19" s="2"/>
      <c r="E19" s="2"/>
      <c r="F19" s="2"/>
      <c r="G19" s="2">
        <f t="shared" si="0"/>
        <v>0</v>
      </c>
      <c r="H19" s="3" t="e">
        <f t="shared" si="1"/>
        <v>#DIV/0!</v>
      </c>
      <c r="I19" s="3"/>
      <c r="J19" s="2"/>
      <c r="K19" s="2"/>
      <c r="L19" s="2"/>
    </row>
    <row r="20" spans="1:12" x14ac:dyDescent="0.25">
      <c r="A20" s="4"/>
      <c r="B20" s="2"/>
      <c r="C20" s="6">
        <v>18</v>
      </c>
      <c r="D20" s="2"/>
      <c r="E20" s="2"/>
      <c r="F20" s="2"/>
      <c r="G20" s="2">
        <f t="shared" si="0"/>
        <v>0</v>
      </c>
      <c r="H20" s="3" t="e">
        <f t="shared" si="1"/>
        <v>#DIV/0!</v>
      </c>
      <c r="I20" s="3"/>
      <c r="J20" s="2"/>
      <c r="K20" s="2"/>
      <c r="L20" s="2"/>
    </row>
    <row r="21" spans="1:12" x14ac:dyDescent="0.25">
      <c r="A21" s="4"/>
      <c r="B21" s="2"/>
      <c r="C21" s="6">
        <v>19</v>
      </c>
      <c r="D21" s="2"/>
      <c r="E21" s="2"/>
      <c r="F21" s="2"/>
      <c r="G21" s="2">
        <f t="shared" si="0"/>
        <v>0</v>
      </c>
      <c r="H21" s="3" t="e">
        <f t="shared" si="1"/>
        <v>#DIV/0!</v>
      </c>
      <c r="I21" s="3"/>
      <c r="J21" s="2"/>
      <c r="K21" s="2"/>
      <c r="L21" s="2"/>
    </row>
    <row r="22" spans="1:12" x14ac:dyDescent="0.25">
      <c r="A22" s="4"/>
      <c r="B22" s="2"/>
      <c r="C22" s="6">
        <v>20</v>
      </c>
      <c r="D22" s="2"/>
      <c r="E22" s="2"/>
      <c r="F22" s="2"/>
      <c r="G22" s="2">
        <f t="shared" si="0"/>
        <v>0</v>
      </c>
      <c r="H22" s="3" t="e">
        <f t="shared" si="1"/>
        <v>#DIV/0!</v>
      </c>
      <c r="I22" s="3"/>
      <c r="J22" s="2"/>
      <c r="K22" s="2"/>
      <c r="L22" s="2"/>
    </row>
    <row r="23" spans="1:12" x14ac:dyDescent="0.25">
      <c r="A23" s="4"/>
      <c r="B23" s="2"/>
      <c r="C23" s="2">
        <v>21</v>
      </c>
      <c r="D23" s="2"/>
      <c r="E23" s="2"/>
      <c r="F23" s="2"/>
      <c r="G23" s="2">
        <f t="shared" si="0"/>
        <v>0</v>
      </c>
      <c r="H23" s="3" t="e">
        <f t="shared" si="1"/>
        <v>#DIV/0!</v>
      </c>
      <c r="I23" s="3"/>
      <c r="J23" s="2"/>
      <c r="K23" s="2"/>
      <c r="L23" s="2"/>
    </row>
    <row r="24" spans="1:12" x14ac:dyDescent="0.25">
      <c r="D24">
        <f>SUM(D3:D23)</f>
        <v>0</v>
      </c>
      <c r="I24" s="1">
        <f>SUM(I3:I23)</f>
        <v>0</v>
      </c>
      <c r="K24" s="1">
        <f>SUM(K1:K23)</f>
        <v>0</v>
      </c>
      <c r="L24" s="1">
        <f>SUM(L1:L23)</f>
        <v>0</v>
      </c>
    </row>
    <row r="25" spans="1:12" x14ac:dyDescent="0.25">
      <c r="A25" t="s">
        <v>29</v>
      </c>
      <c r="B25">
        <f>SUM(Aout!B25+Sept!D24)</f>
        <v>1047</v>
      </c>
      <c r="H25" s="1">
        <f>SUM(Aout!H25+Sept!I24)</f>
        <v>2227</v>
      </c>
      <c r="K25" s="1">
        <f>SUM(Aout!K25+Sept!K24)</f>
        <v>0</v>
      </c>
      <c r="L25" s="1">
        <f>SUM(Aout!L25+Sept!L24)</f>
        <v>1047</v>
      </c>
    </row>
    <row r="26" spans="1:12" x14ac:dyDescent="0.25">
      <c r="J26" t="s">
        <v>22</v>
      </c>
      <c r="K26">
        <v>1843</v>
      </c>
      <c r="L26">
        <v>9688</v>
      </c>
    </row>
    <row r="27" spans="1:12" x14ac:dyDescent="0.25">
      <c r="J27" t="s">
        <v>24</v>
      </c>
      <c r="K27">
        <v>2920</v>
      </c>
      <c r="L27">
        <v>6089</v>
      </c>
    </row>
    <row r="28" spans="1:12" x14ac:dyDescent="0.25">
      <c r="J28" t="s">
        <v>25</v>
      </c>
      <c r="K28">
        <v>7538</v>
      </c>
      <c r="L28">
        <v>3488</v>
      </c>
    </row>
    <row r="29" spans="1:12" x14ac:dyDescent="0.25">
      <c r="J29" t="s">
        <v>27</v>
      </c>
      <c r="K29">
        <v>624</v>
      </c>
      <c r="L29">
        <v>4941</v>
      </c>
    </row>
    <row r="30" spans="1:12" x14ac:dyDescent="0.25">
      <c r="J30" t="s">
        <v>30</v>
      </c>
      <c r="K30">
        <v>289</v>
      </c>
      <c r="L30">
        <v>6903</v>
      </c>
    </row>
    <row r="31" spans="1:12" x14ac:dyDescent="0.25">
      <c r="J31" t="s">
        <v>31</v>
      </c>
    </row>
    <row r="33" spans="10:12" x14ac:dyDescent="0.25">
      <c r="J33" t="s">
        <v>23</v>
      </c>
      <c r="K33">
        <f>SUM(K26:K32)</f>
        <v>13214</v>
      </c>
      <c r="L33">
        <f>SUM(L26:L32)</f>
        <v>31109</v>
      </c>
    </row>
  </sheetData>
  <mergeCells count="2">
    <mergeCell ref="E2:G2"/>
    <mergeCell ref="A1:G1"/>
  </mergeCells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3"/>
  <sheetViews>
    <sheetView workbookViewId="0">
      <selection activeCell="I3" sqref="I3:L10"/>
    </sheetView>
  </sheetViews>
  <sheetFormatPr baseColWidth="10" defaultRowHeight="15" x14ac:dyDescent="0.25"/>
  <cols>
    <col min="1" max="1" width="12.28515625" customWidth="1"/>
    <col min="2" max="2" width="34.28515625" customWidth="1"/>
    <col min="3" max="3" width="4" customWidth="1"/>
    <col min="4" max="4" width="12" customWidth="1"/>
    <col min="5" max="5" width="5.7109375" customWidth="1"/>
    <col min="6" max="6" width="5.85546875" customWidth="1"/>
    <col min="7" max="7" width="5.7109375" customWidth="1"/>
    <col min="8" max="9" width="11.42578125" style="1"/>
    <col min="10" max="10" width="18.5703125" customWidth="1"/>
    <col min="11" max="11" width="8.42578125" customWidth="1"/>
    <col min="12" max="12" width="8.140625" customWidth="1"/>
  </cols>
  <sheetData>
    <row r="1" spans="1:12" ht="27" thickBot="1" x14ac:dyDescent="0.45">
      <c r="A1" s="55" t="s">
        <v>16</v>
      </c>
      <c r="B1" s="55"/>
      <c r="C1" s="55"/>
      <c r="D1" s="55"/>
      <c r="E1" s="55"/>
      <c r="F1" s="55"/>
      <c r="G1" s="55"/>
      <c r="H1" s="13">
        <f>SUM(Janv!H1)</f>
        <v>2026</v>
      </c>
      <c r="I1" s="13"/>
      <c r="J1" s="13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54" t="s">
        <v>3</v>
      </c>
      <c r="F2" s="54"/>
      <c r="G2" s="54"/>
      <c r="H2" s="10" t="s">
        <v>4</v>
      </c>
      <c r="I2" s="16" t="s">
        <v>19</v>
      </c>
      <c r="J2" s="11" t="s">
        <v>5</v>
      </c>
      <c r="K2" s="33" t="s">
        <v>20</v>
      </c>
      <c r="L2" s="34" t="s">
        <v>21</v>
      </c>
    </row>
    <row r="3" spans="1:12" x14ac:dyDescent="0.25">
      <c r="A3" s="5"/>
      <c r="B3" s="6"/>
      <c r="C3" s="6">
        <v>1</v>
      </c>
      <c r="D3" s="6"/>
      <c r="E3" s="6"/>
      <c r="F3" s="6"/>
      <c r="G3" s="6">
        <f>SUM(E3*60+F3)</f>
        <v>0</v>
      </c>
      <c r="H3" s="7" t="e">
        <f>SUM(D3/G3*60)</f>
        <v>#DIV/0!</v>
      </c>
      <c r="I3" s="7"/>
      <c r="J3" s="6"/>
      <c r="K3" s="6"/>
      <c r="L3" s="6"/>
    </row>
    <row r="4" spans="1:12" x14ac:dyDescent="0.25">
      <c r="A4" s="4"/>
      <c r="B4" s="45"/>
      <c r="C4" s="6">
        <v>2</v>
      </c>
      <c r="D4" s="2"/>
      <c r="E4" s="2"/>
      <c r="F4" s="2"/>
      <c r="G4" s="2">
        <f t="shared" ref="G4:G23" si="0">SUM(E4*60+F4)</f>
        <v>0</v>
      </c>
      <c r="H4" s="3" t="e">
        <f t="shared" ref="H4:H23" si="1">SUM(D4/G4*60)</f>
        <v>#DIV/0!</v>
      </c>
      <c r="I4" s="7"/>
      <c r="J4" s="2"/>
      <c r="K4" s="2"/>
      <c r="L4" s="2"/>
    </row>
    <row r="5" spans="1:12" x14ac:dyDescent="0.25">
      <c r="A5" s="4"/>
      <c r="B5" s="45"/>
      <c r="C5" s="6">
        <v>3</v>
      </c>
      <c r="D5" s="2"/>
      <c r="E5" s="2"/>
      <c r="F5" s="2"/>
      <c r="G5" s="2">
        <f t="shared" si="0"/>
        <v>0</v>
      </c>
      <c r="H5" s="3" t="e">
        <f t="shared" si="1"/>
        <v>#DIV/0!</v>
      </c>
      <c r="I5" s="3"/>
      <c r="J5" s="2"/>
      <c r="K5" s="2"/>
      <c r="L5" s="2"/>
    </row>
    <row r="6" spans="1:12" x14ac:dyDescent="0.25">
      <c r="A6" s="4"/>
      <c r="B6" s="45"/>
      <c r="C6" s="6">
        <v>4</v>
      </c>
      <c r="D6" s="2"/>
      <c r="E6" s="2"/>
      <c r="F6" s="2"/>
      <c r="G6" s="2">
        <f t="shared" si="0"/>
        <v>0</v>
      </c>
      <c r="H6" s="3" t="e">
        <f t="shared" si="1"/>
        <v>#DIV/0!</v>
      </c>
      <c r="I6" s="3"/>
      <c r="J6" s="2"/>
      <c r="K6" s="2"/>
      <c r="L6" s="2"/>
    </row>
    <row r="7" spans="1:12" x14ac:dyDescent="0.25">
      <c r="A7" s="4"/>
      <c r="B7" s="45"/>
      <c r="C7" s="6">
        <v>5</v>
      </c>
      <c r="D7" s="2"/>
      <c r="E7" s="2"/>
      <c r="F7" s="2"/>
      <c r="G7" s="2">
        <f t="shared" si="0"/>
        <v>0</v>
      </c>
      <c r="H7" s="3" t="e">
        <f t="shared" si="1"/>
        <v>#DIV/0!</v>
      </c>
      <c r="I7" s="3"/>
      <c r="J7" s="2"/>
      <c r="K7" s="2"/>
      <c r="L7" s="2"/>
    </row>
    <row r="8" spans="1:12" x14ac:dyDescent="0.25">
      <c r="A8" s="4"/>
      <c r="B8" s="45"/>
      <c r="C8" s="6">
        <v>6</v>
      </c>
      <c r="D8" s="2"/>
      <c r="E8" s="2"/>
      <c r="F8" s="2"/>
      <c r="G8" s="2">
        <f t="shared" si="0"/>
        <v>0</v>
      </c>
      <c r="H8" s="3" t="e">
        <f t="shared" si="1"/>
        <v>#DIV/0!</v>
      </c>
      <c r="I8" s="3"/>
      <c r="J8" s="2"/>
      <c r="K8" s="2"/>
      <c r="L8" s="2"/>
    </row>
    <row r="9" spans="1:12" x14ac:dyDescent="0.25">
      <c r="A9" s="4"/>
      <c r="B9" s="45"/>
      <c r="C9" s="6">
        <v>7</v>
      </c>
      <c r="D9" s="2"/>
      <c r="E9" s="2"/>
      <c r="F9" s="2"/>
      <c r="G9" s="2">
        <f t="shared" si="0"/>
        <v>0</v>
      </c>
      <c r="H9" s="3" t="e">
        <f t="shared" si="1"/>
        <v>#DIV/0!</v>
      </c>
      <c r="I9" s="3"/>
      <c r="J9" s="2"/>
      <c r="K9" s="2"/>
      <c r="L9" s="2"/>
    </row>
    <row r="10" spans="1:12" x14ac:dyDescent="0.25">
      <c r="A10" s="4"/>
      <c r="B10" s="19"/>
      <c r="C10" s="6">
        <v>8</v>
      </c>
      <c r="D10" s="2"/>
      <c r="E10" s="2"/>
      <c r="F10" s="2"/>
      <c r="G10" s="2">
        <f t="shared" si="0"/>
        <v>0</v>
      </c>
      <c r="H10" s="3" t="e">
        <f t="shared" si="1"/>
        <v>#DIV/0!</v>
      </c>
      <c r="I10" s="7"/>
      <c r="J10" s="2"/>
      <c r="K10" s="2"/>
      <c r="L10" s="2"/>
    </row>
    <row r="11" spans="1:12" x14ac:dyDescent="0.25">
      <c r="A11" s="4"/>
      <c r="B11" s="2"/>
      <c r="C11" s="6">
        <v>9</v>
      </c>
      <c r="D11" s="2"/>
      <c r="E11" s="2"/>
      <c r="F11" s="2"/>
      <c r="G11" s="2">
        <f t="shared" si="0"/>
        <v>0</v>
      </c>
      <c r="H11" s="3" t="e">
        <f t="shared" si="1"/>
        <v>#DIV/0!</v>
      </c>
      <c r="I11" s="3"/>
      <c r="J11" s="2"/>
      <c r="K11" s="2"/>
      <c r="L11" s="2"/>
    </row>
    <row r="12" spans="1:12" x14ac:dyDescent="0.25">
      <c r="A12" s="4"/>
      <c r="B12" s="2"/>
      <c r="C12" s="6">
        <v>10</v>
      </c>
      <c r="D12" s="2"/>
      <c r="E12" s="2"/>
      <c r="F12" s="2"/>
      <c r="G12" s="2">
        <f t="shared" si="0"/>
        <v>0</v>
      </c>
      <c r="H12" s="3" t="e">
        <f t="shared" si="1"/>
        <v>#DIV/0!</v>
      </c>
      <c r="I12" s="3"/>
      <c r="J12" s="2"/>
      <c r="K12" s="2"/>
      <c r="L12" s="2"/>
    </row>
    <row r="13" spans="1:12" x14ac:dyDescent="0.25">
      <c r="A13" s="4"/>
      <c r="B13" s="2"/>
      <c r="C13" s="6">
        <v>11</v>
      </c>
      <c r="D13" s="2"/>
      <c r="E13" s="2"/>
      <c r="F13" s="2"/>
      <c r="G13" s="2">
        <f t="shared" si="0"/>
        <v>0</v>
      </c>
      <c r="H13" s="3" t="e">
        <f t="shared" si="1"/>
        <v>#DIV/0!</v>
      </c>
      <c r="I13" s="3"/>
      <c r="J13" s="2"/>
      <c r="K13" s="2"/>
      <c r="L13" s="2"/>
    </row>
    <row r="14" spans="1:12" x14ac:dyDescent="0.25">
      <c r="A14" s="4"/>
      <c r="B14" s="2"/>
      <c r="C14" s="6">
        <v>12</v>
      </c>
      <c r="D14" s="2"/>
      <c r="E14" s="2"/>
      <c r="F14" s="2"/>
      <c r="G14" s="2">
        <f t="shared" si="0"/>
        <v>0</v>
      </c>
      <c r="H14" s="3" t="e">
        <f t="shared" si="1"/>
        <v>#DIV/0!</v>
      </c>
      <c r="I14" s="3"/>
      <c r="J14" s="2"/>
      <c r="K14" s="2"/>
      <c r="L14" s="2"/>
    </row>
    <row r="15" spans="1:12" x14ac:dyDescent="0.25">
      <c r="A15" s="4"/>
      <c r="B15" s="2"/>
      <c r="C15" s="6">
        <v>13</v>
      </c>
      <c r="D15" s="2"/>
      <c r="E15" s="2"/>
      <c r="F15" s="2"/>
      <c r="G15" s="2">
        <f t="shared" si="0"/>
        <v>0</v>
      </c>
      <c r="H15" s="3" t="e">
        <f t="shared" si="1"/>
        <v>#DIV/0!</v>
      </c>
      <c r="I15" s="3"/>
      <c r="J15" s="2"/>
      <c r="K15" s="2"/>
      <c r="L15" s="2"/>
    </row>
    <row r="16" spans="1:12" x14ac:dyDescent="0.25">
      <c r="A16" s="4"/>
      <c r="B16" s="2"/>
      <c r="C16" s="6">
        <v>14</v>
      </c>
      <c r="D16" s="2"/>
      <c r="E16" s="2"/>
      <c r="F16" s="2"/>
      <c r="G16" s="2">
        <f t="shared" si="0"/>
        <v>0</v>
      </c>
      <c r="H16" s="3" t="e">
        <f t="shared" si="1"/>
        <v>#DIV/0!</v>
      </c>
      <c r="I16" s="3"/>
      <c r="J16" s="2"/>
      <c r="K16" s="2"/>
      <c r="L16" s="2"/>
    </row>
    <row r="17" spans="1:12" x14ac:dyDescent="0.25">
      <c r="A17" s="4"/>
      <c r="B17" s="2"/>
      <c r="C17" s="6">
        <v>15</v>
      </c>
      <c r="D17" s="2"/>
      <c r="E17" s="2"/>
      <c r="F17" s="2"/>
      <c r="G17" s="2">
        <f t="shared" si="0"/>
        <v>0</v>
      </c>
      <c r="H17" s="3" t="e">
        <f t="shared" si="1"/>
        <v>#DIV/0!</v>
      </c>
      <c r="I17" s="3"/>
      <c r="J17" s="2"/>
      <c r="K17" s="2"/>
      <c r="L17" s="2"/>
    </row>
    <row r="18" spans="1:12" x14ac:dyDescent="0.25">
      <c r="A18" s="4"/>
      <c r="B18" s="2"/>
      <c r="C18" s="6">
        <v>16</v>
      </c>
      <c r="D18" s="2"/>
      <c r="E18" s="2"/>
      <c r="F18" s="2"/>
      <c r="G18" s="2">
        <f t="shared" si="0"/>
        <v>0</v>
      </c>
      <c r="H18" s="3" t="e">
        <f t="shared" si="1"/>
        <v>#DIV/0!</v>
      </c>
      <c r="I18" s="3"/>
      <c r="J18" s="2"/>
      <c r="K18" s="2"/>
      <c r="L18" s="2"/>
    </row>
    <row r="19" spans="1:12" x14ac:dyDescent="0.25">
      <c r="A19" s="4"/>
      <c r="B19" s="2"/>
      <c r="C19" s="6">
        <v>17</v>
      </c>
      <c r="D19" s="2"/>
      <c r="E19" s="2"/>
      <c r="F19" s="2"/>
      <c r="G19" s="2">
        <f t="shared" si="0"/>
        <v>0</v>
      </c>
      <c r="H19" s="3" t="e">
        <f t="shared" si="1"/>
        <v>#DIV/0!</v>
      </c>
      <c r="I19" s="3"/>
      <c r="J19" s="2"/>
      <c r="K19" s="2"/>
      <c r="L19" s="2"/>
    </row>
    <row r="20" spans="1:12" x14ac:dyDescent="0.25">
      <c r="A20" s="4"/>
      <c r="B20" s="2"/>
      <c r="C20" s="6">
        <v>18</v>
      </c>
      <c r="D20" s="2"/>
      <c r="E20" s="2"/>
      <c r="F20" s="2"/>
      <c r="G20" s="2">
        <f t="shared" si="0"/>
        <v>0</v>
      </c>
      <c r="H20" s="3" t="e">
        <f t="shared" si="1"/>
        <v>#DIV/0!</v>
      </c>
      <c r="I20" s="3"/>
      <c r="J20" s="2"/>
      <c r="K20" s="2"/>
      <c r="L20" s="2"/>
    </row>
    <row r="21" spans="1:12" x14ac:dyDescent="0.25">
      <c r="A21" s="4"/>
      <c r="B21" s="2"/>
      <c r="C21" s="6">
        <v>19</v>
      </c>
      <c r="D21" s="2"/>
      <c r="E21" s="2"/>
      <c r="F21" s="2"/>
      <c r="G21" s="2">
        <f t="shared" si="0"/>
        <v>0</v>
      </c>
      <c r="H21" s="3" t="e">
        <f t="shared" si="1"/>
        <v>#DIV/0!</v>
      </c>
      <c r="I21" s="3"/>
      <c r="J21" s="2"/>
      <c r="K21" s="2"/>
      <c r="L21" s="2"/>
    </row>
    <row r="22" spans="1:12" x14ac:dyDescent="0.25">
      <c r="A22" s="4"/>
      <c r="B22" s="2"/>
      <c r="C22" s="6">
        <v>20</v>
      </c>
      <c r="D22" s="2"/>
      <c r="E22" s="2"/>
      <c r="F22" s="2"/>
      <c r="G22" s="2">
        <f t="shared" si="0"/>
        <v>0</v>
      </c>
      <c r="H22" s="3" t="e">
        <f t="shared" si="1"/>
        <v>#DIV/0!</v>
      </c>
      <c r="I22" s="3"/>
      <c r="J22" s="2"/>
      <c r="K22" s="2"/>
      <c r="L22" s="2"/>
    </row>
    <row r="23" spans="1:12" x14ac:dyDescent="0.25">
      <c r="A23" s="4"/>
      <c r="B23" s="2"/>
      <c r="C23" s="2">
        <v>21</v>
      </c>
      <c r="D23" s="2"/>
      <c r="E23" s="2"/>
      <c r="F23" s="2"/>
      <c r="G23" s="2">
        <f t="shared" si="0"/>
        <v>0</v>
      </c>
      <c r="H23" s="3" t="e">
        <f t="shared" si="1"/>
        <v>#DIV/0!</v>
      </c>
      <c r="I23" s="3"/>
      <c r="J23" s="2"/>
      <c r="K23" s="2"/>
      <c r="L23" s="2"/>
    </row>
    <row r="24" spans="1:12" x14ac:dyDescent="0.25">
      <c r="D24">
        <f>SUM(D3:D23)</f>
        <v>0</v>
      </c>
      <c r="I24" s="1">
        <f>SUM(I3:I23)</f>
        <v>0</v>
      </c>
      <c r="K24" s="1">
        <f>SUM(K1:K23)</f>
        <v>0</v>
      </c>
      <c r="L24" s="1">
        <f>SUM(L1:L23)</f>
        <v>0</v>
      </c>
    </row>
    <row r="25" spans="1:12" x14ac:dyDescent="0.25">
      <c r="A25" t="s">
        <v>26</v>
      </c>
      <c r="B25">
        <f>SUM(Sept!B25+Oct!D24)</f>
        <v>1047</v>
      </c>
      <c r="H25" s="1">
        <f>SUM(Sept!H25+Oct!I24)</f>
        <v>2227</v>
      </c>
      <c r="K25" s="1">
        <f>SUM(Sept!K25+Oct!K24)</f>
        <v>0</v>
      </c>
      <c r="L25" s="1">
        <f>SUM(Sept!L25+Oct!L24)</f>
        <v>1047</v>
      </c>
    </row>
    <row r="26" spans="1:12" x14ac:dyDescent="0.25">
      <c r="J26" t="s">
        <v>22</v>
      </c>
      <c r="K26">
        <v>1843</v>
      </c>
      <c r="L26">
        <v>9688</v>
      </c>
    </row>
    <row r="27" spans="1:12" x14ac:dyDescent="0.25">
      <c r="J27" t="s">
        <v>24</v>
      </c>
      <c r="K27">
        <v>2920</v>
      </c>
      <c r="L27">
        <v>6089</v>
      </c>
    </row>
    <row r="28" spans="1:12" x14ac:dyDescent="0.25">
      <c r="J28" t="s">
        <v>25</v>
      </c>
      <c r="K28">
        <v>7538</v>
      </c>
      <c r="L28">
        <v>3488</v>
      </c>
    </row>
    <row r="29" spans="1:12" x14ac:dyDescent="0.25">
      <c r="J29" t="s">
        <v>27</v>
      </c>
      <c r="K29">
        <v>624</v>
      </c>
      <c r="L29">
        <v>4941</v>
      </c>
    </row>
    <row r="30" spans="1:12" x14ac:dyDescent="0.25">
      <c r="J30" t="s">
        <v>30</v>
      </c>
      <c r="K30">
        <v>289</v>
      </c>
      <c r="L30">
        <v>6903</v>
      </c>
    </row>
    <row r="31" spans="1:12" x14ac:dyDescent="0.25">
      <c r="J31" t="s">
        <v>31</v>
      </c>
    </row>
    <row r="33" spans="10:12" x14ac:dyDescent="0.25">
      <c r="J33" t="s">
        <v>23</v>
      </c>
      <c r="K33">
        <f>SUM(K26:K32)</f>
        <v>13214</v>
      </c>
      <c r="L33">
        <f>SUM(L26:L32)</f>
        <v>31109</v>
      </c>
    </row>
  </sheetData>
  <mergeCells count="2">
    <mergeCell ref="E2:G2"/>
    <mergeCell ref="A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33"/>
  <sheetViews>
    <sheetView topLeftCell="B1" workbookViewId="0">
      <selection activeCell="I3" sqref="I3:L8"/>
    </sheetView>
  </sheetViews>
  <sheetFormatPr baseColWidth="10" defaultRowHeight="15" x14ac:dyDescent="0.25"/>
  <cols>
    <col min="1" max="1" width="12.42578125" customWidth="1"/>
    <col min="2" max="2" width="34.28515625" customWidth="1"/>
    <col min="3" max="3" width="4" customWidth="1"/>
    <col min="4" max="4" width="12" customWidth="1"/>
    <col min="5" max="5" width="5.7109375" customWidth="1"/>
    <col min="6" max="6" width="5.85546875" customWidth="1"/>
    <col min="7" max="7" width="5.7109375" customWidth="1"/>
    <col min="8" max="9" width="11.42578125" style="1"/>
    <col min="10" max="10" width="18.5703125" customWidth="1"/>
    <col min="11" max="11" width="8.42578125" customWidth="1"/>
    <col min="12" max="12" width="8" customWidth="1"/>
  </cols>
  <sheetData>
    <row r="1" spans="1:12" ht="27" thickBot="1" x14ac:dyDescent="0.45">
      <c r="A1" s="55" t="s">
        <v>17</v>
      </c>
      <c r="B1" s="55"/>
      <c r="C1" s="55"/>
      <c r="D1" s="55"/>
      <c r="E1" s="55"/>
      <c r="F1" s="55"/>
      <c r="G1" s="55"/>
      <c r="H1" s="13">
        <f>SUM(Janv!H1)</f>
        <v>2026</v>
      </c>
      <c r="I1" s="13"/>
      <c r="J1" s="13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54" t="s">
        <v>3</v>
      </c>
      <c r="F2" s="54"/>
      <c r="G2" s="54"/>
      <c r="H2" s="10" t="s">
        <v>4</v>
      </c>
      <c r="I2" s="16" t="s">
        <v>19</v>
      </c>
      <c r="J2" s="11" t="s">
        <v>5</v>
      </c>
      <c r="K2" s="33" t="s">
        <v>20</v>
      </c>
      <c r="L2" s="34" t="s">
        <v>21</v>
      </c>
    </row>
    <row r="3" spans="1:12" x14ac:dyDescent="0.25">
      <c r="A3" s="5">
        <v>45965</v>
      </c>
      <c r="B3" s="45"/>
      <c r="C3" s="6">
        <v>1</v>
      </c>
      <c r="D3" s="6"/>
      <c r="E3" s="6"/>
      <c r="F3" s="6"/>
      <c r="G3" s="6">
        <f>SUM(E3*60+F3)</f>
        <v>0</v>
      </c>
      <c r="H3" s="7" t="e">
        <f>SUM(D3/G3*60)</f>
        <v>#DIV/0!</v>
      </c>
      <c r="I3" s="7"/>
      <c r="J3" s="2"/>
      <c r="K3" s="6"/>
      <c r="L3" s="6"/>
    </row>
    <row r="4" spans="1:12" x14ac:dyDescent="0.25">
      <c r="A4" s="4">
        <v>45974</v>
      </c>
      <c r="B4" s="45"/>
      <c r="C4" s="6">
        <v>2</v>
      </c>
      <c r="D4" s="2"/>
      <c r="E4" s="2"/>
      <c r="F4" s="2"/>
      <c r="G4" s="2">
        <f>SUM(E4*60+F4)</f>
        <v>0</v>
      </c>
      <c r="H4" s="3" t="e">
        <f t="shared" ref="H4:H23" si="0">SUM(D4/G4*60)</f>
        <v>#DIV/0!</v>
      </c>
      <c r="I4" s="7"/>
      <c r="J4" s="2"/>
      <c r="K4" s="2"/>
      <c r="L4" s="2"/>
    </row>
    <row r="5" spans="1:12" x14ac:dyDescent="0.25">
      <c r="A5" s="4">
        <v>45979</v>
      </c>
      <c r="B5" s="45"/>
      <c r="C5" s="6">
        <v>3</v>
      </c>
      <c r="D5" s="2"/>
      <c r="E5" s="2"/>
      <c r="F5" s="2"/>
      <c r="G5" s="2">
        <f>SUM(E5*60+F5)</f>
        <v>0</v>
      </c>
      <c r="H5" s="3" t="e">
        <f t="shared" si="0"/>
        <v>#DIV/0!</v>
      </c>
      <c r="I5" s="3"/>
      <c r="J5" s="2"/>
      <c r="K5" s="2"/>
      <c r="L5" s="2"/>
    </row>
    <row r="6" spans="1:12" x14ac:dyDescent="0.25">
      <c r="A6" s="4">
        <v>45986</v>
      </c>
      <c r="B6" s="45"/>
      <c r="C6" s="6">
        <v>4</v>
      </c>
      <c r="D6" s="2"/>
      <c r="E6" s="2"/>
      <c r="F6" s="2"/>
      <c r="G6" s="2">
        <f t="shared" ref="G6:G23" si="1">SUM(E6*60+F6)</f>
        <v>0</v>
      </c>
      <c r="H6" s="3" t="e">
        <f t="shared" si="0"/>
        <v>#DIV/0!</v>
      </c>
      <c r="I6" s="3"/>
      <c r="J6" s="2"/>
      <c r="K6" s="2"/>
      <c r="L6" s="2"/>
    </row>
    <row r="7" spans="1:12" x14ac:dyDescent="0.25">
      <c r="A7" s="4">
        <v>45990</v>
      </c>
      <c r="B7" s="45"/>
      <c r="C7" s="6">
        <v>5</v>
      </c>
      <c r="D7" s="2"/>
      <c r="E7" s="2"/>
      <c r="F7" s="2"/>
      <c r="G7" s="2">
        <f t="shared" si="1"/>
        <v>0</v>
      </c>
      <c r="H7" s="3" t="e">
        <f t="shared" si="0"/>
        <v>#DIV/0!</v>
      </c>
      <c r="I7" s="3"/>
      <c r="J7" s="2"/>
      <c r="K7" s="2"/>
      <c r="L7" s="2"/>
    </row>
    <row r="8" spans="1:12" x14ac:dyDescent="0.25">
      <c r="A8" s="4"/>
      <c r="B8" s="2"/>
      <c r="C8" s="6">
        <v>6</v>
      </c>
      <c r="D8" s="2"/>
      <c r="E8" s="2"/>
      <c r="F8" s="2"/>
      <c r="G8" s="2">
        <f t="shared" si="1"/>
        <v>0</v>
      </c>
      <c r="H8" s="3" t="e">
        <f t="shared" si="0"/>
        <v>#DIV/0!</v>
      </c>
      <c r="I8" s="3"/>
      <c r="J8" s="2"/>
      <c r="K8" s="2"/>
      <c r="L8" s="2"/>
    </row>
    <row r="9" spans="1:12" x14ac:dyDescent="0.25">
      <c r="A9" s="4"/>
      <c r="B9" s="2"/>
      <c r="C9" s="6">
        <v>7</v>
      </c>
      <c r="D9" s="2"/>
      <c r="E9" s="2"/>
      <c r="F9" s="2"/>
      <c r="G9" s="2">
        <f t="shared" si="1"/>
        <v>0</v>
      </c>
      <c r="H9" s="3" t="e">
        <f t="shared" si="0"/>
        <v>#DIV/0!</v>
      </c>
      <c r="I9" s="3"/>
      <c r="J9" s="2"/>
      <c r="K9" s="2"/>
      <c r="L9" s="2"/>
    </row>
    <row r="10" spans="1:12" x14ac:dyDescent="0.25">
      <c r="A10" s="4"/>
      <c r="B10" s="2"/>
      <c r="C10" s="6">
        <v>8</v>
      </c>
      <c r="D10" s="2"/>
      <c r="E10" s="2"/>
      <c r="F10" s="2"/>
      <c r="G10" s="2">
        <f t="shared" si="1"/>
        <v>0</v>
      </c>
      <c r="H10" s="3" t="e">
        <f t="shared" si="0"/>
        <v>#DIV/0!</v>
      </c>
      <c r="I10" s="7"/>
      <c r="J10" s="2"/>
      <c r="K10" s="2"/>
      <c r="L10" s="2"/>
    </row>
    <row r="11" spans="1:12" x14ac:dyDescent="0.25">
      <c r="A11" s="4"/>
      <c r="B11" s="2"/>
      <c r="C11" s="6">
        <v>9</v>
      </c>
      <c r="D11" s="2"/>
      <c r="E11" s="2"/>
      <c r="F11" s="2"/>
      <c r="G11" s="2">
        <f t="shared" si="1"/>
        <v>0</v>
      </c>
      <c r="H11" s="3" t="e">
        <f t="shared" si="0"/>
        <v>#DIV/0!</v>
      </c>
      <c r="I11" s="3"/>
      <c r="J11" s="2"/>
      <c r="K11" s="2"/>
      <c r="L11" s="2"/>
    </row>
    <row r="12" spans="1:12" x14ac:dyDescent="0.25">
      <c r="A12" s="4"/>
      <c r="B12" s="2"/>
      <c r="C12" s="6">
        <v>10</v>
      </c>
      <c r="D12" s="2"/>
      <c r="E12" s="2"/>
      <c r="F12" s="2"/>
      <c r="G12" s="2">
        <f t="shared" si="1"/>
        <v>0</v>
      </c>
      <c r="H12" s="3" t="e">
        <f t="shared" si="0"/>
        <v>#DIV/0!</v>
      </c>
      <c r="I12" s="3"/>
      <c r="J12" s="2"/>
      <c r="K12" s="2"/>
      <c r="L12" s="2"/>
    </row>
    <row r="13" spans="1:12" x14ac:dyDescent="0.25">
      <c r="A13" s="4"/>
      <c r="B13" s="2"/>
      <c r="C13" s="6">
        <v>3</v>
      </c>
      <c r="D13" s="2"/>
      <c r="E13" s="2"/>
      <c r="F13" s="2"/>
      <c r="G13" s="2">
        <f t="shared" si="1"/>
        <v>0</v>
      </c>
      <c r="H13" s="3" t="e">
        <f t="shared" si="0"/>
        <v>#DIV/0!</v>
      </c>
      <c r="I13" s="3"/>
      <c r="J13" s="2"/>
      <c r="K13" s="2"/>
      <c r="L13" s="2"/>
    </row>
    <row r="14" spans="1:12" x14ac:dyDescent="0.25">
      <c r="A14" s="4"/>
      <c r="B14" s="2"/>
      <c r="C14" s="6">
        <v>12</v>
      </c>
      <c r="D14" s="2"/>
      <c r="E14" s="2"/>
      <c r="F14" s="2"/>
      <c r="G14" s="2">
        <f t="shared" si="1"/>
        <v>0</v>
      </c>
      <c r="H14" s="3" t="e">
        <f t="shared" si="0"/>
        <v>#DIV/0!</v>
      </c>
      <c r="I14" s="3"/>
      <c r="J14" s="2"/>
      <c r="K14" s="2"/>
      <c r="L14" s="2"/>
    </row>
    <row r="15" spans="1:12" x14ac:dyDescent="0.25">
      <c r="A15" s="4"/>
      <c r="B15" s="2"/>
      <c r="C15" s="6">
        <v>13</v>
      </c>
      <c r="D15" s="2"/>
      <c r="E15" s="2"/>
      <c r="F15" s="2"/>
      <c r="G15" s="2">
        <f t="shared" si="1"/>
        <v>0</v>
      </c>
      <c r="H15" s="3" t="e">
        <f t="shared" si="0"/>
        <v>#DIV/0!</v>
      </c>
      <c r="I15" s="3"/>
      <c r="J15" s="2"/>
      <c r="K15" s="2"/>
      <c r="L15" s="2"/>
    </row>
    <row r="16" spans="1:12" x14ac:dyDescent="0.25">
      <c r="A16" s="4"/>
      <c r="B16" s="2"/>
      <c r="C16" s="6">
        <v>14</v>
      </c>
      <c r="D16" s="2"/>
      <c r="E16" s="21"/>
      <c r="F16" s="2"/>
      <c r="G16" s="2">
        <f t="shared" si="1"/>
        <v>0</v>
      </c>
      <c r="H16" s="3" t="e">
        <f t="shared" si="0"/>
        <v>#DIV/0!</v>
      </c>
      <c r="I16" s="3"/>
      <c r="J16" s="2"/>
      <c r="K16" s="2"/>
      <c r="L16" s="2"/>
    </row>
    <row r="17" spans="1:12" x14ac:dyDescent="0.25">
      <c r="A17" s="4"/>
      <c r="B17" s="2"/>
      <c r="C17" s="6">
        <v>15</v>
      </c>
      <c r="D17" s="2"/>
      <c r="E17" s="2"/>
      <c r="F17" s="2"/>
      <c r="G17" s="2">
        <f t="shared" si="1"/>
        <v>0</v>
      </c>
      <c r="H17" s="3" t="e">
        <f t="shared" si="0"/>
        <v>#DIV/0!</v>
      </c>
      <c r="I17" s="3"/>
      <c r="J17" s="2"/>
      <c r="K17" s="2"/>
      <c r="L17" s="2"/>
    </row>
    <row r="18" spans="1:12" x14ac:dyDescent="0.25">
      <c r="A18" s="4"/>
      <c r="B18" s="2"/>
      <c r="C18" s="6">
        <v>16</v>
      </c>
      <c r="D18" s="2"/>
      <c r="E18" s="2"/>
      <c r="F18" s="2"/>
      <c r="G18" s="2">
        <f t="shared" si="1"/>
        <v>0</v>
      </c>
      <c r="H18" s="3" t="e">
        <f t="shared" si="0"/>
        <v>#DIV/0!</v>
      </c>
      <c r="I18" s="3"/>
      <c r="J18" s="2"/>
      <c r="K18" s="2"/>
      <c r="L18" s="2"/>
    </row>
    <row r="19" spans="1:12" x14ac:dyDescent="0.25">
      <c r="A19" s="4"/>
      <c r="B19" s="2"/>
      <c r="C19" s="6">
        <v>17</v>
      </c>
      <c r="D19" s="2"/>
      <c r="E19" s="2"/>
      <c r="F19" s="2"/>
      <c r="G19" s="2">
        <f t="shared" si="1"/>
        <v>0</v>
      </c>
      <c r="H19" s="3" t="e">
        <f t="shared" si="0"/>
        <v>#DIV/0!</v>
      </c>
      <c r="I19" s="3"/>
      <c r="J19" s="2"/>
      <c r="K19" s="2"/>
      <c r="L19" s="2"/>
    </row>
    <row r="20" spans="1:12" x14ac:dyDescent="0.25">
      <c r="A20" s="4"/>
      <c r="B20" s="2"/>
      <c r="C20" s="6">
        <v>18</v>
      </c>
      <c r="D20" s="2"/>
      <c r="E20" s="2"/>
      <c r="F20" s="2"/>
      <c r="G20" s="2">
        <f t="shared" si="1"/>
        <v>0</v>
      </c>
      <c r="H20" s="3" t="e">
        <f t="shared" si="0"/>
        <v>#DIV/0!</v>
      </c>
      <c r="I20" s="3"/>
      <c r="J20" s="2"/>
      <c r="K20" s="2"/>
      <c r="L20" s="2"/>
    </row>
    <row r="21" spans="1:12" x14ac:dyDescent="0.25">
      <c r="A21" s="4"/>
      <c r="B21" s="2"/>
      <c r="C21" s="6">
        <v>19</v>
      </c>
      <c r="D21" s="2"/>
      <c r="E21" s="2"/>
      <c r="F21" s="2"/>
      <c r="G21" s="2">
        <f t="shared" si="1"/>
        <v>0</v>
      </c>
      <c r="H21" s="3" t="e">
        <f t="shared" si="0"/>
        <v>#DIV/0!</v>
      </c>
      <c r="I21" s="3"/>
      <c r="J21" s="2"/>
      <c r="K21" s="2"/>
      <c r="L21" s="2"/>
    </row>
    <row r="22" spans="1:12" x14ac:dyDescent="0.25">
      <c r="A22" s="4"/>
      <c r="B22" s="2"/>
      <c r="C22" s="6">
        <v>20</v>
      </c>
      <c r="D22" s="2"/>
      <c r="E22" s="2"/>
      <c r="F22" s="2"/>
      <c r="G22" s="2">
        <f t="shared" si="1"/>
        <v>0</v>
      </c>
      <c r="H22" s="3" t="e">
        <f t="shared" si="0"/>
        <v>#DIV/0!</v>
      </c>
      <c r="I22" s="3"/>
      <c r="J22" s="2"/>
      <c r="K22" s="2"/>
      <c r="L22" s="2"/>
    </row>
    <row r="23" spans="1:12" x14ac:dyDescent="0.25">
      <c r="A23" s="4"/>
      <c r="B23" s="2"/>
      <c r="C23" s="2">
        <v>21</v>
      </c>
      <c r="D23" s="2"/>
      <c r="E23" s="2"/>
      <c r="F23" s="2"/>
      <c r="G23" s="2">
        <f t="shared" si="1"/>
        <v>0</v>
      </c>
      <c r="H23" s="3" t="e">
        <f t="shared" si="0"/>
        <v>#DIV/0!</v>
      </c>
      <c r="I23" s="3"/>
      <c r="J23" s="2"/>
      <c r="K23" s="2"/>
      <c r="L23" s="2"/>
    </row>
    <row r="24" spans="1:12" x14ac:dyDescent="0.25">
      <c r="D24">
        <f>SUM(D3:D23)</f>
        <v>0</v>
      </c>
      <c r="I24" s="1">
        <f>SUM(I3:I23)</f>
        <v>0</v>
      </c>
      <c r="K24" s="1">
        <f>SUM(K1:K23)</f>
        <v>0</v>
      </c>
      <c r="L24" s="1">
        <f>SUM(L1:L23)</f>
        <v>0</v>
      </c>
    </row>
    <row r="25" spans="1:12" x14ac:dyDescent="0.25">
      <c r="A25" t="s">
        <v>26</v>
      </c>
      <c r="B25">
        <f>SUM(Oct!B25+Nov!D24)</f>
        <v>1047</v>
      </c>
      <c r="H25" s="1">
        <f>SUM(Oct!H25+Nov!I24)</f>
        <v>2227</v>
      </c>
      <c r="K25" s="1">
        <f>SUM(Oct!K25+Nov!K24)</f>
        <v>0</v>
      </c>
      <c r="L25" s="1">
        <f>SUM(Oct!L25+Nov!L24)</f>
        <v>1047</v>
      </c>
    </row>
    <row r="26" spans="1:12" x14ac:dyDescent="0.25">
      <c r="J26" t="s">
        <v>22</v>
      </c>
      <c r="K26">
        <v>1843</v>
      </c>
      <c r="L26">
        <v>9688</v>
      </c>
    </row>
    <row r="27" spans="1:12" x14ac:dyDescent="0.25">
      <c r="J27" t="s">
        <v>24</v>
      </c>
      <c r="K27">
        <v>2920</v>
      </c>
      <c r="L27">
        <v>6089</v>
      </c>
    </row>
    <row r="28" spans="1:12" x14ac:dyDescent="0.25">
      <c r="J28" t="s">
        <v>25</v>
      </c>
      <c r="K28">
        <v>7538</v>
      </c>
      <c r="L28">
        <v>3488</v>
      </c>
    </row>
    <row r="29" spans="1:12" x14ac:dyDescent="0.25">
      <c r="J29" t="s">
        <v>27</v>
      </c>
      <c r="K29">
        <v>624</v>
      </c>
      <c r="L29">
        <v>4941</v>
      </c>
    </row>
    <row r="30" spans="1:12" x14ac:dyDescent="0.25">
      <c r="J30" t="s">
        <v>30</v>
      </c>
      <c r="K30">
        <v>289</v>
      </c>
      <c r="L30">
        <v>6903</v>
      </c>
    </row>
    <row r="31" spans="1:12" x14ac:dyDescent="0.25">
      <c r="J31" t="s">
        <v>31</v>
      </c>
    </row>
    <row r="33" spans="10:12" x14ac:dyDescent="0.25">
      <c r="J33" t="s">
        <v>23</v>
      </c>
      <c r="K33">
        <f>SUM(K26:K32)</f>
        <v>13214</v>
      </c>
      <c r="L33">
        <f>SUM(L26:L32)</f>
        <v>31109</v>
      </c>
    </row>
  </sheetData>
  <mergeCells count="2">
    <mergeCell ref="E2:G2"/>
    <mergeCell ref="A1:G1"/>
  </mergeCells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33"/>
  <sheetViews>
    <sheetView tabSelected="1" topLeftCell="A2" workbookViewId="0">
      <selection activeCell="I3" sqref="I3:L9"/>
    </sheetView>
  </sheetViews>
  <sheetFormatPr baseColWidth="10" defaultRowHeight="15" x14ac:dyDescent="0.25"/>
  <cols>
    <col min="1" max="1" width="12.5703125" customWidth="1"/>
    <col min="2" max="2" width="36.85546875" customWidth="1"/>
    <col min="3" max="3" width="3.7109375" customWidth="1"/>
    <col min="4" max="4" width="11.140625" customWidth="1"/>
    <col min="5" max="7" width="4.7109375" customWidth="1"/>
    <col min="8" max="8" width="10.140625" style="1" customWidth="1"/>
    <col min="9" max="9" width="8.5703125" style="1" customWidth="1"/>
    <col min="10" max="10" width="18.5703125" customWidth="1"/>
    <col min="11" max="11" width="8.42578125" customWidth="1"/>
    <col min="12" max="12" width="7.7109375" customWidth="1"/>
  </cols>
  <sheetData>
    <row r="1" spans="1:12" ht="27" thickBot="1" x14ac:dyDescent="0.45">
      <c r="A1" s="55" t="s">
        <v>18</v>
      </c>
      <c r="B1" s="55"/>
      <c r="C1" s="55"/>
      <c r="D1" s="55"/>
      <c r="E1" s="55"/>
      <c r="F1" s="55"/>
      <c r="G1" s="55"/>
      <c r="H1" s="13">
        <f>SUM(Janv!H1)</f>
        <v>2026</v>
      </c>
      <c r="I1" s="13"/>
      <c r="J1" s="13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54" t="s">
        <v>3</v>
      </c>
      <c r="F2" s="54"/>
      <c r="G2" s="54"/>
      <c r="H2" s="10" t="s">
        <v>4</v>
      </c>
      <c r="I2" s="16" t="s">
        <v>19</v>
      </c>
      <c r="J2" s="11" t="s">
        <v>5</v>
      </c>
      <c r="K2" s="33" t="s">
        <v>20</v>
      </c>
      <c r="L2" s="34" t="s">
        <v>21</v>
      </c>
    </row>
    <row r="3" spans="1:12" x14ac:dyDescent="0.25">
      <c r="A3" s="5"/>
      <c r="B3" s="45"/>
      <c r="C3" s="6">
        <v>1</v>
      </c>
      <c r="D3" s="6"/>
      <c r="E3" s="6"/>
      <c r="F3" s="6"/>
      <c r="G3" s="6">
        <f>SUM(E3*60+F3)</f>
        <v>0</v>
      </c>
      <c r="H3" s="7" t="e">
        <f>SUM(D3/G3*60)</f>
        <v>#DIV/0!</v>
      </c>
      <c r="I3" s="7"/>
      <c r="J3" s="6"/>
      <c r="K3" s="6"/>
      <c r="L3" s="6"/>
    </row>
    <row r="4" spans="1:12" x14ac:dyDescent="0.25">
      <c r="A4" s="4"/>
      <c r="B4" s="45"/>
      <c r="C4" s="6">
        <v>2</v>
      </c>
      <c r="D4" s="2"/>
      <c r="E4" s="2"/>
      <c r="F4" s="2"/>
      <c r="G4" s="2">
        <f t="shared" ref="G4:G23" si="0">SUM(E4*60+F4)</f>
        <v>0</v>
      </c>
      <c r="H4" s="3" t="e">
        <f t="shared" ref="H4:H23" si="1">SUM(D4/G4*60)</f>
        <v>#DIV/0!</v>
      </c>
      <c r="I4" s="7"/>
      <c r="J4" s="6"/>
      <c r="K4" s="2"/>
      <c r="L4" s="2"/>
    </row>
    <row r="5" spans="1:12" x14ac:dyDescent="0.25">
      <c r="A5" s="4"/>
      <c r="B5" s="45"/>
      <c r="C5" s="6">
        <v>3</v>
      </c>
      <c r="D5" s="2"/>
      <c r="E5" s="2"/>
      <c r="F5" s="2"/>
      <c r="G5" s="2">
        <f t="shared" si="0"/>
        <v>0</v>
      </c>
      <c r="H5" s="3" t="e">
        <f t="shared" si="1"/>
        <v>#DIV/0!</v>
      </c>
      <c r="I5" s="3"/>
      <c r="J5" s="2"/>
      <c r="K5" s="2"/>
      <c r="L5" s="2"/>
    </row>
    <row r="6" spans="1:12" s="28" customFormat="1" x14ac:dyDescent="0.25">
      <c r="A6" s="23"/>
      <c r="B6" s="46"/>
      <c r="C6" s="25">
        <v>4</v>
      </c>
      <c r="D6" s="24"/>
      <c r="E6" s="24"/>
      <c r="F6" s="24"/>
      <c r="G6" s="24">
        <f t="shared" si="0"/>
        <v>0</v>
      </c>
      <c r="H6" s="26" t="e">
        <f t="shared" si="1"/>
        <v>#DIV/0!</v>
      </c>
      <c r="I6" s="26"/>
      <c r="J6" s="24"/>
      <c r="K6" s="2"/>
      <c r="L6" s="2"/>
    </row>
    <row r="7" spans="1:12" s="28" customFormat="1" x14ac:dyDescent="0.25">
      <c r="A7" s="23"/>
      <c r="B7" s="46"/>
      <c r="C7" s="25">
        <v>5</v>
      </c>
      <c r="D7" s="24"/>
      <c r="E7" s="24"/>
      <c r="F7" s="24"/>
      <c r="G7" s="24">
        <f t="shared" si="0"/>
        <v>0</v>
      </c>
      <c r="H7" s="26" t="e">
        <f t="shared" si="1"/>
        <v>#DIV/0!</v>
      </c>
      <c r="I7" s="26"/>
      <c r="J7" s="24"/>
      <c r="K7" s="2"/>
      <c r="L7" s="2"/>
    </row>
    <row r="8" spans="1:12" s="28" customFormat="1" x14ac:dyDescent="0.25">
      <c r="A8" s="23"/>
      <c r="B8" s="46"/>
      <c r="C8" s="25">
        <v>6</v>
      </c>
      <c r="D8" s="24"/>
      <c r="E8" s="24"/>
      <c r="F8" s="24"/>
      <c r="G8" s="24">
        <f t="shared" si="0"/>
        <v>0</v>
      </c>
      <c r="H8" s="26" t="e">
        <f t="shared" si="1"/>
        <v>#DIV/0!</v>
      </c>
      <c r="I8" s="26"/>
      <c r="J8" s="24"/>
      <c r="K8" s="2"/>
      <c r="L8" s="2"/>
    </row>
    <row r="9" spans="1:12" s="28" customFormat="1" x14ac:dyDescent="0.25">
      <c r="A9" s="23"/>
      <c r="B9" s="45"/>
      <c r="C9" s="25">
        <v>7</v>
      </c>
      <c r="D9" s="24"/>
      <c r="E9" s="24"/>
      <c r="F9" s="24"/>
      <c r="G9" s="24">
        <f t="shared" si="0"/>
        <v>0</v>
      </c>
      <c r="H9" s="26" t="e">
        <f t="shared" si="1"/>
        <v>#DIV/0!</v>
      </c>
      <c r="I9" s="26"/>
      <c r="J9" s="24"/>
      <c r="K9" s="2"/>
      <c r="L9" s="2"/>
    </row>
    <row r="10" spans="1:12" s="28" customFormat="1" x14ac:dyDescent="0.25">
      <c r="A10" s="23"/>
      <c r="B10" s="24"/>
      <c r="C10" s="25">
        <v>8</v>
      </c>
      <c r="D10" s="24"/>
      <c r="E10" s="24"/>
      <c r="F10" s="24"/>
      <c r="G10" s="24">
        <f t="shared" si="0"/>
        <v>0</v>
      </c>
      <c r="H10" s="26" t="e">
        <f t="shared" si="1"/>
        <v>#DIV/0!</v>
      </c>
      <c r="I10" s="27"/>
      <c r="J10" s="25"/>
      <c r="K10" s="2"/>
      <c r="L10" s="2"/>
    </row>
    <row r="11" spans="1:12" s="28" customFormat="1" x14ac:dyDescent="0.25">
      <c r="A11" s="23"/>
      <c r="B11" s="24"/>
      <c r="C11" s="25">
        <v>9</v>
      </c>
      <c r="D11" s="24"/>
      <c r="E11" s="24"/>
      <c r="F11" s="24"/>
      <c r="G11" s="24">
        <f t="shared" si="0"/>
        <v>0</v>
      </c>
      <c r="H11" s="26" t="e">
        <f t="shared" si="1"/>
        <v>#DIV/0!</v>
      </c>
      <c r="I11" s="26"/>
      <c r="J11" s="24"/>
      <c r="K11" s="2"/>
      <c r="L11" s="2"/>
    </row>
    <row r="12" spans="1:12" s="28" customFormat="1" x14ac:dyDescent="0.25">
      <c r="A12" s="23"/>
      <c r="B12" s="24"/>
      <c r="C12" s="25">
        <v>10</v>
      </c>
      <c r="D12" s="24"/>
      <c r="E12" s="24"/>
      <c r="F12" s="24"/>
      <c r="G12" s="24">
        <f t="shared" si="0"/>
        <v>0</v>
      </c>
      <c r="H12" s="26" t="e">
        <f t="shared" si="1"/>
        <v>#DIV/0!</v>
      </c>
      <c r="I12" s="26"/>
      <c r="J12" s="24"/>
      <c r="K12" s="2"/>
      <c r="L12" s="2"/>
    </row>
    <row r="13" spans="1:12" x14ac:dyDescent="0.25">
      <c r="A13" s="4"/>
      <c r="B13" s="2"/>
      <c r="C13" s="6">
        <v>11</v>
      </c>
      <c r="D13" s="2"/>
      <c r="E13" s="2"/>
      <c r="F13" s="2"/>
      <c r="G13" s="2">
        <f t="shared" si="0"/>
        <v>0</v>
      </c>
      <c r="H13" s="3" t="e">
        <f t="shared" si="1"/>
        <v>#DIV/0!</v>
      </c>
      <c r="I13" s="3"/>
      <c r="J13" s="2"/>
      <c r="K13" s="2"/>
      <c r="L13" s="2"/>
    </row>
    <row r="14" spans="1:12" x14ac:dyDescent="0.25">
      <c r="A14" s="4"/>
      <c r="B14" s="2"/>
      <c r="C14" s="6">
        <v>12</v>
      </c>
      <c r="D14" s="2"/>
      <c r="E14" s="2"/>
      <c r="F14" s="2"/>
      <c r="G14" s="2">
        <f t="shared" si="0"/>
        <v>0</v>
      </c>
      <c r="H14" s="3" t="e">
        <f t="shared" si="1"/>
        <v>#DIV/0!</v>
      </c>
      <c r="I14" s="3"/>
      <c r="J14" s="2"/>
      <c r="K14" s="2"/>
      <c r="L14" s="2"/>
    </row>
    <row r="15" spans="1:12" x14ac:dyDescent="0.25">
      <c r="A15" s="4"/>
      <c r="B15" s="2"/>
      <c r="C15" s="6">
        <v>13</v>
      </c>
      <c r="D15" s="2"/>
      <c r="E15" s="2"/>
      <c r="F15" s="2"/>
      <c r="G15" s="2">
        <f t="shared" si="0"/>
        <v>0</v>
      </c>
      <c r="H15" s="3" t="e">
        <f t="shared" si="1"/>
        <v>#DIV/0!</v>
      </c>
      <c r="I15" s="3"/>
      <c r="J15" s="2"/>
      <c r="K15" s="2"/>
      <c r="L15" s="2"/>
    </row>
    <row r="16" spans="1:12" x14ac:dyDescent="0.25">
      <c r="A16" s="4"/>
      <c r="B16" s="2"/>
      <c r="C16" s="6">
        <v>14</v>
      </c>
      <c r="D16" s="2"/>
      <c r="E16" s="2"/>
      <c r="F16" s="2"/>
      <c r="G16" s="2">
        <f t="shared" si="0"/>
        <v>0</v>
      </c>
      <c r="H16" s="3" t="e">
        <f t="shared" si="1"/>
        <v>#DIV/0!</v>
      </c>
      <c r="I16" s="3"/>
      <c r="J16" s="2"/>
      <c r="K16" s="2"/>
      <c r="L16" s="2"/>
    </row>
    <row r="17" spans="1:12" x14ac:dyDescent="0.25">
      <c r="A17" s="4"/>
      <c r="B17" s="2"/>
      <c r="C17" s="6">
        <v>15</v>
      </c>
      <c r="D17" s="2"/>
      <c r="E17" s="2"/>
      <c r="F17" s="2"/>
      <c r="G17" s="2">
        <f t="shared" si="0"/>
        <v>0</v>
      </c>
      <c r="H17" s="3" t="e">
        <f t="shared" si="1"/>
        <v>#DIV/0!</v>
      </c>
      <c r="I17" s="3"/>
      <c r="J17" s="2"/>
      <c r="K17" s="2"/>
      <c r="L17" s="2"/>
    </row>
    <row r="18" spans="1:12" x14ac:dyDescent="0.25">
      <c r="A18" s="4"/>
      <c r="B18" s="2"/>
      <c r="C18" s="6">
        <v>16</v>
      </c>
      <c r="D18" s="2"/>
      <c r="E18" s="2"/>
      <c r="F18" s="2"/>
      <c r="G18" s="2">
        <f t="shared" si="0"/>
        <v>0</v>
      </c>
      <c r="H18" s="3" t="e">
        <f t="shared" si="1"/>
        <v>#DIV/0!</v>
      </c>
      <c r="I18" s="3"/>
      <c r="J18" s="2"/>
      <c r="K18" s="2"/>
      <c r="L18" s="2"/>
    </row>
    <row r="19" spans="1:12" x14ac:dyDescent="0.25">
      <c r="A19" s="4"/>
      <c r="B19" s="2"/>
      <c r="C19" s="6">
        <v>17</v>
      </c>
      <c r="D19" s="2"/>
      <c r="E19" s="2"/>
      <c r="F19" s="2"/>
      <c r="G19" s="2">
        <f t="shared" si="0"/>
        <v>0</v>
      </c>
      <c r="H19" s="3" t="e">
        <f t="shared" si="1"/>
        <v>#DIV/0!</v>
      </c>
      <c r="I19" s="3"/>
      <c r="J19" s="2"/>
      <c r="K19" s="2"/>
      <c r="L19" s="2"/>
    </row>
    <row r="20" spans="1:12" x14ac:dyDescent="0.25">
      <c r="A20" s="4"/>
      <c r="B20" s="2"/>
      <c r="C20" s="6">
        <v>18</v>
      </c>
      <c r="D20" s="2"/>
      <c r="E20" s="2"/>
      <c r="F20" s="2"/>
      <c r="G20" s="2">
        <f t="shared" si="0"/>
        <v>0</v>
      </c>
      <c r="H20" s="3" t="e">
        <f t="shared" si="1"/>
        <v>#DIV/0!</v>
      </c>
      <c r="I20" s="3"/>
      <c r="J20" s="2"/>
      <c r="K20" s="2"/>
      <c r="L20" s="2"/>
    </row>
    <row r="21" spans="1:12" x14ac:dyDescent="0.25">
      <c r="A21" s="4"/>
      <c r="B21" s="2"/>
      <c r="C21" s="6">
        <v>19</v>
      </c>
      <c r="D21" s="2"/>
      <c r="E21" s="2"/>
      <c r="F21" s="2"/>
      <c r="G21" s="2">
        <f t="shared" si="0"/>
        <v>0</v>
      </c>
      <c r="H21" s="3" t="e">
        <f t="shared" si="1"/>
        <v>#DIV/0!</v>
      </c>
      <c r="I21" s="3"/>
      <c r="J21" s="2"/>
      <c r="K21" s="2"/>
      <c r="L21" s="2"/>
    </row>
    <row r="22" spans="1:12" x14ac:dyDescent="0.25">
      <c r="A22" s="4"/>
      <c r="B22" s="2"/>
      <c r="C22" s="6">
        <v>20</v>
      </c>
      <c r="D22" s="2"/>
      <c r="E22" s="2"/>
      <c r="F22" s="2"/>
      <c r="G22" s="2">
        <f t="shared" si="0"/>
        <v>0</v>
      </c>
      <c r="H22" s="3" t="e">
        <f t="shared" si="1"/>
        <v>#DIV/0!</v>
      </c>
      <c r="I22" s="3"/>
      <c r="J22" s="2"/>
      <c r="K22" s="2"/>
      <c r="L22" s="2"/>
    </row>
    <row r="23" spans="1:12" x14ac:dyDescent="0.25">
      <c r="A23" s="4"/>
      <c r="B23" s="2"/>
      <c r="C23" s="2"/>
      <c r="D23" s="2"/>
      <c r="E23" s="2"/>
      <c r="F23" s="2"/>
      <c r="G23" s="2">
        <f t="shared" si="0"/>
        <v>0</v>
      </c>
      <c r="H23" s="3" t="e">
        <f t="shared" si="1"/>
        <v>#DIV/0!</v>
      </c>
      <c r="I23" s="3"/>
      <c r="J23" s="2"/>
      <c r="K23" s="2"/>
      <c r="L23" s="2"/>
    </row>
    <row r="24" spans="1:12" x14ac:dyDescent="0.25">
      <c r="D24">
        <f>SUM(D3:D23)</f>
        <v>0</v>
      </c>
      <c r="I24" s="1">
        <f>SUM(I3:I23)</f>
        <v>0</v>
      </c>
      <c r="K24" s="1">
        <f>SUM(K1:K23)</f>
        <v>0</v>
      </c>
      <c r="L24" s="1">
        <f>SUM(L1:L23)</f>
        <v>0</v>
      </c>
    </row>
    <row r="25" spans="1:12" x14ac:dyDescent="0.25">
      <c r="A25" t="s">
        <v>26</v>
      </c>
      <c r="B25">
        <f>SUM(Nov!B25+Déc!D24)</f>
        <v>1047</v>
      </c>
      <c r="H25" s="1">
        <f>SUM(Nov!H25+Déc!I24)</f>
        <v>2227</v>
      </c>
      <c r="K25" s="1">
        <f>SUM(Nov!K25+Déc!K24)</f>
        <v>0</v>
      </c>
      <c r="L25" s="1">
        <f>SUM(Nov!L25+Déc!L24)</f>
        <v>1047</v>
      </c>
    </row>
    <row r="26" spans="1:12" x14ac:dyDescent="0.25">
      <c r="J26" t="s">
        <v>22</v>
      </c>
      <c r="K26">
        <v>1843</v>
      </c>
      <c r="L26">
        <v>9688</v>
      </c>
    </row>
    <row r="27" spans="1:12" x14ac:dyDescent="0.25">
      <c r="J27" t="s">
        <v>24</v>
      </c>
      <c r="K27">
        <v>2920</v>
      </c>
      <c r="L27">
        <v>6089</v>
      </c>
    </row>
    <row r="28" spans="1:12" x14ac:dyDescent="0.25">
      <c r="J28" t="s">
        <v>25</v>
      </c>
      <c r="K28">
        <v>7538</v>
      </c>
      <c r="L28">
        <v>3488</v>
      </c>
    </row>
    <row r="29" spans="1:12" x14ac:dyDescent="0.25">
      <c r="J29" t="s">
        <v>27</v>
      </c>
      <c r="K29">
        <v>624</v>
      </c>
      <c r="L29">
        <v>4941</v>
      </c>
    </row>
    <row r="30" spans="1:12" x14ac:dyDescent="0.25">
      <c r="J30" t="s">
        <v>30</v>
      </c>
      <c r="K30">
        <v>289</v>
      </c>
      <c r="L30">
        <v>6903</v>
      </c>
    </row>
    <row r="31" spans="1:12" x14ac:dyDescent="0.25">
      <c r="J31" t="s">
        <v>31</v>
      </c>
    </row>
    <row r="33" spans="10:12" x14ac:dyDescent="0.25">
      <c r="J33" t="s">
        <v>23</v>
      </c>
      <c r="K33">
        <f>SUM(K26:K32)</f>
        <v>13214</v>
      </c>
      <c r="L33">
        <f>SUM(L26:L32)</f>
        <v>31109</v>
      </c>
    </row>
  </sheetData>
  <mergeCells count="2">
    <mergeCell ref="E2:G2"/>
    <mergeCell ref="A1:G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2C134-A039-432A-9DB8-25AF20D220E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16FF1-153C-458B-88C2-C4372E7108B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Janv</vt:lpstr>
      <vt:lpstr>Fév</vt:lpstr>
      <vt:lpstr>Mar</vt:lpstr>
      <vt:lpstr>Avr</vt:lpstr>
      <vt:lpstr>Mai</vt:lpstr>
      <vt:lpstr>Juin</vt:lpstr>
      <vt:lpstr>Juil</vt:lpstr>
      <vt:lpstr>Aout</vt:lpstr>
      <vt:lpstr>Sept</vt:lpstr>
      <vt:lpstr>Oct</vt:lpstr>
      <vt:lpstr>Nov</vt:lpstr>
      <vt:lpstr>Déc</vt:lpstr>
      <vt:lpstr>Feuil1</vt:lpstr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Patrice</dc:creator>
  <cp:lastModifiedBy>patrice.gouadon@outlook.fr</cp:lastModifiedBy>
  <dcterms:created xsi:type="dcterms:W3CDTF">2015-01-07T20:15:24Z</dcterms:created>
  <dcterms:modified xsi:type="dcterms:W3CDTF">2026-03-13T14:27:18Z</dcterms:modified>
</cp:coreProperties>
</file>